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2" sheetId="1" r:id="rId5"/>
    <sheet state="visible" name="202601" sheetId="2" r:id="rId6"/>
    <sheet state="visible" name="202512" sheetId="3" r:id="rId7"/>
    <sheet state="visible" name="202511" sheetId="4" r:id="rId8"/>
    <sheet state="visible" name="202510" sheetId="5" r:id="rId9"/>
    <sheet state="visible" name="202509" sheetId="6" r:id="rId10"/>
    <sheet state="visible" name="202508" sheetId="7" r:id="rId11"/>
    <sheet state="visible" name="202507" sheetId="8" r:id="rId12"/>
    <sheet state="visible" name="202506" sheetId="9" r:id="rId13"/>
    <sheet state="visible" name="202505" sheetId="10" r:id="rId14"/>
    <sheet state="visible" name="202504" sheetId="11" r:id="rId15"/>
    <sheet state="visible" name="202503" sheetId="12" r:id="rId16"/>
    <sheet state="visible" name="202502" sheetId="13" r:id="rId17"/>
    <sheet state="visible" name="202501" sheetId="14" r:id="rId18"/>
    <sheet state="visible" name="202412" sheetId="15" r:id="rId19"/>
    <sheet state="visible" name="202411" sheetId="16" r:id="rId20"/>
    <sheet state="visible" name="202410" sheetId="17" r:id="rId21"/>
    <sheet state="visible" name="202409" sheetId="18" r:id="rId22"/>
    <sheet state="visible" name="202408" sheetId="19" r:id="rId2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tc={137fc929-0592-408e-a933-234da51effa6}</author>
  </authors>
  <commentList>
    <comment authorId="0" xr:uid="{137fc929-0592-408e-a933-234da51effa6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https://www.nodong.kr/income_tax#google_vignette
</t>
      </text>
    </comment>
  </commentList>
</comments>
</file>

<file path=xl/sharedStrings.xml><?xml version="1.0" encoding="utf-8"?>
<sst xmlns="http://schemas.openxmlformats.org/spreadsheetml/2006/main" count="1063" uniqueCount="95">
  <si>
    <t>https://www.hrsideteam.com/2d26a575-a760-4051-b49f-e302c8e6c070</t>
  </si>
  <si>
    <t>https://www.newploy.net/2024%EB%85%84-4%EB%8C%80%EB%B3%B4%ED%97%98-%EC%9A%94%EC%9C%A8/</t>
  </si>
  <si>
    <t>수치좀이상</t>
  </si>
  <si>
    <r>
      <rPr>
        <color rgb="FF1155CC"/>
        <u/>
      </rPr>
      <t>https://help.jobis.co/hc/ko/articles/900003823426--%EC%A7%81%EC%9B%90-%EA%B8%89%EC%97%AC-%EC%99%B8-%EB%B9%A0%EC%A7%80%EB%8A%94-4%EB%8C%80%EB%B3%B4%ED%97%98-%EC%84%B8%EA%B8%88-%EB%93%B1-%EC%B4%9D%EC%A0%95%EB%A6%AC</t>
    </r>
    <r>
      <rPr/>
      <t xml:space="preserve"> (수치 구버전)</t>
    </r>
  </si>
  <si>
    <t>정확계산기</t>
  </si>
  <si>
    <t>https://www.nodong.kr/insure_cal</t>
  </si>
  <si>
    <t>가이드</t>
  </si>
  <si>
    <t>https://blog.naver.com/matilda0222/222975240560</t>
  </si>
  <si>
    <t>급여명세서</t>
  </si>
  <si>
    <t>https://www.moel.go.kr/wageCal.do</t>
  </si>
  <si>
    <t>사업소득세 리스트</t>
  </si>
  <si>
    <t>https://docs.google.com/spreadsheets/d/1A21Xfn-Zn4IPCOlB9V3fyfL2ua8DBvDqZUFll7n2V04/edit?gid=0#gid=0</t>
  </si>
  <si>
    <r>
      <rPr>
        <b/>
      </rPr>
      <t xml:space="preserve">[금곡] 사업소득 지급 내역 </t>
    </r>
    <r>
      <rPr>
        <b/>
        <color rgb="FF1155CC"/>
        <u/>
      </rPr>
      <t>https://docs.google.com/spreadsheets/d/1A21Xfn-Zn4IPCOlB9V3fyfL2ua8DBvDqZUFll7n2V04/edit?gid=0#gid=0</t>
    </r>
  </si>
  <si>
    <t>이름</t>
  </si>
  <si>
    <t>김귀정</t>
  </si>
  <si>
    <t>김다희</t>
  </si>
  <si>
    <t>박민지</t>
  </si>
  <si>
    <t>정수민</t>
  </si>
  <si>
    <t>조민서</t>
  </si>
  <si>
    <t>시급</t>
  </si>
  <si>
    <t>월근무시간</t>
  </si>
  <si>
    <t>총 급여</t>
  </si>
  <si>
    <t>3.3% 세금</t>
  </si>
  <si>
    <t>공제후 실급여</t>
  </si>
  <si>
    <t>27일 조기 지급 완료</t>
  </si>
  <si>
    <t>2월 1일 두정동 근무분. 5.5시간 지급 완료</t>
  </si>
  <si>
    <t xml:space="preserve">2월 17일 두정동 근무분. 9.5시간 지급 완료 </t>
  </si>
  <si>
    <t>급여총액</t>
  </si>
  <si>
    <t>실지급총액</t>
  </si>
  <si>
    <r>
      <rPr>
        <color rgb="FF1155CC"/>
        <u/>
      </rPr>
      <t>https://help.jobis.co/hc/ko/articles/900003823426--%EC%A7%81%EC%9B%90-%EA%B8%89%EC%97%AC-%EC%99%B8-%EB%B9%A0%EC%A7%80%EB%8A%94-4%EB%8C%80%EB%B3%B4%ED%97%98-%EC%84%B8%EA%B8%88-%EB%93%B1-%EC%B4%9D%EC%A0%95%EB%A6%AC</t>
    </r>
    <r>
      <rPr/>
      <t xml:space="preserve"> (수치 구버전)</t>
    </r>
  </si>
  <si>
    <r>
      <rPr>
        <b/>
      </rPr>
      <t xml:space="preserve">[금곡] 사업소득 지급 내역 </t>
    </r>
    <r>
      <rPr>
        <b/>
        <color rgb="FF1155CC"/>
        <u/>
      </rPr>
      <t>https://docs.google.com/spreadsheets/d/1A21Xfn-Zn4IPCOlB9V3fyfL2ua8DBvDqZUFll7n2V04/edit?gid=0#gid=0</t>
    </r>
  </si>
  <si>
    <t>최시현</t>
  </si>
  <si>
    <t>신재원</t>
  </si>
  <si>
    <t>1월 2일 지급 완료</t>
  </si>
  <si>
    <t>1월 7일 지급 완료</t>
  </si>
  <si>
    <t>퇴직금</t>
  </si>
  <si>
    <t>퇴직금 세금</t>
  </si>
  <si>
    <t>공제후 실 퇴직금</t>
  </si>
  <si>
    <r>
      <rPr>
        <color rgb="FF1155CC"/>
        <u/>
      </rPr>
      <t>https://help.jobis.co/hc/ko/articles/900003823426--%EC%A7%81%EC%9B%90-%EA%B8%89%EC%97%AC-%EC%99%B8-%EB%B9%A0%EC%A7%80%EB%8A%94-4%EB%8C%80%EB%B3%B4%ED%97%98-%EC%84%B8%EA%B8%88-%EB%93%B1-%EC%B4%9D%EC%A0%95%EB%A6%AC</t>
    </r>
    <r>
      <rPr/>
      <t xml:space="preserve"> (수치 구버전)</t>
    </r>
  </si>
  <si>
    <r>
      <rPr>
        <b/>
      </rPr>
      <t xml:space="preserve">[금곡] 사업소득 지급 내역 </t>
    </r>
    <r>
      <rPr>
        <b/>
        <color rgb="FF1155CC"/>
        <u/>
      </rPr>
      <t>https://docs.google.com/spreadsheets/d/1A21Xfn-Zn4IPCOlB9V3fyfL2ua8DBvDqZUFll7n2V04/edit?gid=0#gid=0</t>
    </r>
  </si>
  <si>
    <t>김귀정 주단위로 20시간씩 지급함, 11월 말 정산시 해당 금액 제하고 지급해야함</t>
  </si>
  <si>
    <r>
      <rPr>
        <color rgb="FF1155CC"/>
        <u/>
      </rPr>
      <t>https://help.jobis.co/hc/ko/articles/900003823426--%EC%A7%81%EC%9B%90-%EA%B8%89%EC%97%AC-%EC%99%B8-%EB%B9%A0%EC%A7%80%EB%8A%94-4%EB%8C%80%EB%B3%B4%ED%97%98-%EC%84%B8%EA%B8%88-%EB%93%B1-%EC%B4%9D%EC%A0%95%EB%A6%AC</t>
    </r>
    <r>
      <rPr/>
      <t xml:space="preserve"> (수치 구버전)</t>
    </r>
  </si>
  <si>
    <r>
      <rPr>
        <b/>
      </rPr>
      <t xml:space="preserve">[금곡] 사업소득 지급 내역 </t>
    </r>
    <r>
      <rPr>
        <b/>
        <color rgb="FF1155CC"/>
        <u/>
      </rPr>
      <t>https://docs.google.com/spreadsheets/d/1A21Xfn-Zn4IPCOlB9V3fyfL2ua8DBvDqZUFll7n2V04/edit?gid=0#gid=0</t>
    </r>
  </si>
  <si>
    <r>
      <rPr>
        <color rgb="FF1155CC"/>
        <u/>
      </rPr>
      <t>https://help.jobis.co/hc/ko/articles/900003823426--%EC%A7%81%EC%9B%90-%EA%B8%89%EC%97%AC-%EC%99%B8-%EB%B9%A0%EC%A7%80%EB%8A%94-4%EB%8C%80%EB%B3%B4%ED%97%98-%EC%84%B8%EA%B8%88-%EB%93%B1-%EC%B4%9D%EC%A0%95%EB%A6%AC</t>
    </r>
    <r>
      <rPr/>
      <t xml:space="preserve"> (수치 구버전)</t>
    </r>
  </si>
  <si>
    <r>
      <rPr>
        <b/>
      </rPr>
      <t xml:space="preserve">[금곡] 사업소득 지급 내역 </t>
    </r>
    <r>
      <rPr>
        <b/>
        <color rgb="FF1155CC"/>
        <u/>
      </rPr>
      <t>https://docs.google.com/spreadsheets/d/1A21Xfn-Zn4IPCOlB9V3fyfL2ua8DBvDqZUFll7n2V04/edit?gid=0#gid=0</t>
    </r>
  </si>
  <si>
    <r>
      <rPr>
        <color rgb="FF1155CC"/>
        <u/>
      </rPr>
      <t>https://help.jobis.co/hc/ko/articles/900003823426--%EC%A7%81%EC%9B%90-%EA%B8%89%EC%97%AC-%EC%99%B8-%EB%B9%A0%EC%A7%80%EB%8A%94-4%EB%8C%80%EB%B3%B4%ED%97%98-%EC%84%B8%EA%B8%88-%EB%93%B1-%EC%B4%9D%EC%A0%95%EB%A6%AC</t>
    </r>
    <r>
      <rPr/>
      <t xml:space="preserve"> (수치 구버전)</t>
    </r>
  </si>
  <si>
    <r>
      <rPr>
        <b/>
      </rPr>
      <t xml:space="preserve">[금곡] 사업소득 지급 내역 </t>
    </r>
    <r>
      <rPr>
        <b/>
        <color rgb="FF1155CC"/>
        <u/>
      </rPr>
      <t>https://docs.google.com/spreadsheets/d/1A21Xfn-Zn4IPCOlB9V3fyfL2ua8DBvDqZUFll7n2V04/edit?gid=0#gid=0</t>
    </r>
  </si>
  <si>
    <t>안혜연</t>
  </si>
  <si>
    <t>3.3% 사업소득세</t>
  </si>
  <si>
    <t>안혜연 퇴직금</t>
  </si>
  <si>
    <r>
      <rPr>
        <color rgb="FF1155CC"/>
        <u/>
      </rPr>
      <t>https://help.jobis.co/hc/ko/articles/900003823426--%EC%A7%81%EC%9B%90-%EA%B8%89%EC%97%AC-%EC%99%B8-%EB%B9%A0%EC%A7%80%EB%8A%94-4%EB%8C%80%EB%B3%B4%ED%97%98-%EC%84%B8%EA%B8%88-%EB%93%B1-%EC%B4%9D%EC%A0%95%EB%A6%AC</t>
    </r>
    <r>
      <rPr/>
      <t xml:space="preserve"> (수치 구버전)</t>
    </r>
  </si>
  <si>
    <r>
      <rPr>
        <b/>
      </rPr>
      <t xml:space="preserve">[금곡] 사업소득 지급 내역 </t>
    </r>
    <r>
      <rPr>
        <b/>
        <color rgb="FF1155CC"/>
        <u/>
      </rPr>
      <t>https://docs.google.com/spreadsheets/d/1GR-wzV6ptJDo21biMtnB-bnQPc6xD1w1bruq_bkWOG4/edit?gid=0#gid=0</t>
    </r>
    <r>
      <rPr>
        <b/>
      </rPr>
      <t xml:space="preserve"> </t>
    </r>
  </si>
  <si>
    <t>심두현</t>
  </si>
  <si>
    <t>송연우</t>
  </si>
  <si>
    <r>
      <rPr>
        <color rgb="FF1155CC"/>
        <u/>
      </rPr>
      <t>https://help.jobis.co/hc/ko/articles/900003823426--%EC%A7%81%EC%9B%90-%EA%B8%89%EC%97%AC-%EC%99%B8-%EB%B9%A0%EC%A7%80%EB%8A%94-4%EB%8C%80%EB%B3%B4%ED%97%98-%EC%84%B8%EA%B8%88-%EB%93%B1-%EC%B4%9D%EC%A0%95%EB%A6%AC</t>
    </r>
    <r>
      <rPr/>
      <t xml:space="preserve"> (수치 구버전)</t>
    </r>
  </si>
  <si>
    <r>
      <rPr>
        <b/>
      </rPr>
      <t xml:space="preserve">[금곡] 사업소득 지급 내역 </t>
    </r>
    <r>
      <rPr>
        <b/>
        <color rgb="FF1155CC"/>
        <u/>
      </rPr>
      <t>https://docs.google.com/spreadsheets/d/1GR-wzV6ptJDo21biMtnB-bnQPc6xD1w1bruq_bkWOG4/edit?gid=0#gid=0</t>
    </r>
    <r>
      <rPr>
        <b/>
      </rPr>
      <t xml:space="preserve"> </t>
    </r>
  </si>
  <si>
    <t>안영준</t>
  </si>
  <si>
    <r>
      <rPr>
        <color rgb="FF1155CC"/>
        <u/>
      </rPr>
      <t>https://help.jobis.co/hc/ko/articles/900003823426--%EC%A7%81%EC%9B%90-%EA%B8%89%EC%97%AC-%EC%99%B8-%EB%B9%A0%EC%A7%80%EB%8A%94-4%EB%8C%80%EB%B3%B4%ED%97%98-%EC%84%B8%EA%B8%88-%EB%93%B1-%EC%B4%9D%EC%A0%95%EB%A6%AC</t>
    </r>
    <r>
      <rPr/>
      <t xml:space="preserve"> (수치 구버전)</t>
    </r>
  </si>
  <si>
    <r>
      <rPr>
        <b/>
      </rPr>
      <t xml:space="preserve">[금곡] 사업소득 지급 내역 </t>
    </r>
    <r>
      <rPr>
        <b/>
        <color rgb="FF1155CC"/>
        <u/>
      </rPr>
      <t>https://docs.google.com/spreadsheets/d/1GR-wzV6ptJDo21biMtnB-bnQPc6xD1w1bruq_bkWOG4/edit?gid=0#gid=0</t>
    </r>
    <r>
      <rPr>
        <b/>
      </rPr>
      <t xml:space="preserve"> </t>
    </r>
  </si>
  <si>
    <t>최은서</t>
  </si>
  <si>
    <r>
      <rPr>
        <color rgb="FF1155CC"/>
        <u/>
      </rPr>
      <t>https://help.jobis.co/hc/ko/articles/900003823426--%EC%A7%81%EC%9B%90-%EA%B8%89%EC%97%AC-%EC%99%B8-%EB%B9%A0%EC%A7%80%EB%8A%94-4%EB%8C%80%EB%B3%B4%ED%97%98-%EC%84%B8%EA%B8%88-%EB%93%B1-%EC%B4%9D%EC%A0%95%EB%A6%AC</t>
    </r>
    <r>
      <rPr/>
      <t xml:space="preserve"> (수치 구버전)</t>
    </r>
  </si>
  <si>
    <r>
      <rPr>
        <b/>
      </rPr>
      <t xml:space="preserve">[금곡] 사업소득 지급 내역 </t>
    </r>
    <r>
      <rPr>
        <b/>
        <color rgb="FF1155CC"/>
        <u/>
      </rPr>
      <t>https://docs.google.com/spreadsheets/d/1GR-wzV6ptJDo21biMtnB-bnQPc6xD1w1bruq_bkWOG4/edit?gid=0#gid=0</t>
    </r>
    <r>
      <rPr>
        <b/>
      </rPr>
      <t xml:space="preserve"> </t>
    </r>
  </si>
  <si>
    <r>
      <rPr>
        <color rgb="FF1155CC"/>
        <u/>
      </rPr>
      <t>https://help.jobis.co/hc/ko/articles/900003823426--%EC%A7%81%EC%9B%90-%EA%B8%89%EC%97%AC-%EC%99%B8-%EB%B9%A0%EC%A7%80%EB%8A%94-4%EB%8C%80%EB%B3%B4%ED%97%98-%EC%84%B8%EA%B8%88-%EB%93%B1-%EC%B4%9D%EC%A0%95%EB%A6%AC</t>
    </r>
    <r>
      <rPr/>
      <t xml:space="preserve"> (수치 구버전)</t>
    </r>
  </si>
  <si>
    <r>
      <rPr>
        <color rgb="FF1155CC"/>
        <u/>
      </rPr>
      <t>https://help.jobis.co/hc/ko/articles/900003823426--%EC%A7%81%EC%9B%90-%EA%B8%89%EC%97%AC-%EC%99%B8-%EB%B9%A0%EC%A7%80%EB%8A%94-4%EB%8C%80%EB%B3%B4%ED%97%98-%EC%84%B8%EA%B8%88-%EB%93%B1-%EC%B4%9D%EC%A0%95%EB%A6%AC</t>
    </r>
    <r>
      <rPr/>
      <t xml:space="preserve"> (수치 구버전)</t>
    </r>
  </si>
  <si>
    <r>
      <rPr>
        <color rgb="FF1155CC"/>
        <u/>
      </rPr>
      <t>https://help.jobis.co/hc/ko/articles/900003823426--%EC%A7%81%EC%9B%90-%EA%B8%89%EC%97%AC-%EC%99%B8-%EB%B9%A0%EC%A7%80%EB%8A%94-4%EB%8C%80%EB%B3%B4%ED%97%98-%EC%84%B8%EA%B8%88-%EB%93%B1-%EC%B4%9D%EC%A0%95%EB%A6%AC</t>
    </r>
    <r>
      <rPr/>
      <t xml:space="preserve"> (수치 구버전)</t>
    </r>
  </si>
  <si>
    <t>장우혁</t>
  </si>
  <si>
    <r>
      <rPr>
        <color rgb="FF1155CC"/>
        <u/>
      </rPr>
      <t>https://help.jobis.co/hc/ko/articles/900003823426--%EC%A7%81%EC%9B%90-%EA%B8%89%EC%97%AC-%EC%99%B8-%EB%B9%A0%EC%A7%80%EB%8A%94-4%EB%8C%80%EB%B3%B4%ED%97%98-%EC%84%B8%EA%B8%88-%EB%93%B1-%EC%B4%9D%EC%A0%95%EB%A6%AC</t>
    </r>
    <r>
      <rPr/>
      <t xml:space="preserve"> (수치 구버전)</t>
    </r>
  </si>
  <si>
    <r>
      <rPr>
        <color rgb="FF1155CC"/>
        <u/>
      </rPr>
      <t>https://help.jobis.co/hc/ko/articles/900003823426--%EC%A7%81%EC%9B%90-%EA%B8%89%EC%97%AC-%EC%99%B8-%EB%B9%A0%EC%A7%80%EB%8A%94-4%EB%8C%80%EB%B3%B4%ED%97%98-%EC%84%B8%EA%B8%88-%EB%93%B1-%EC%B4%9D%EC%A0%95%EB%A6%AC</t>
    </r>
    <r>
      <rPr/>
      <t xml:space="preserve"> (수치 구버전)</t>
    </r>
  </si>
  <si>
    <r>
      <rPr>
        <color rgb="FF1155CC"/>
        <u/>
      </rPr>
      <t>https://help.jobis.co/hc/ko/articles/900003823426--%EC%A7%81%EC%9B%90-%EA%B8%89%EC%97%AC-%EC%99%B8-%EB%B9%A0%EC%A7%80%EB%8A%94-4%EB%8C%80%EB%B3%B4%ED%97%98-%EC%84%B8%EA%B8%88-%EB%93%B1-%EC%B4%9D%EC%A0%95%EB%A6%AC</t>
    </r>
    <r>
      <rPr/>
      <t xml:space="preserve"> (수치 구버전)</t>
    </r>
  </si>
  <si>
    <t>만근 보너스</t>
  </si>
  <si>
    <t>총액</t>
  </si>
  <si>
    <r>
      <rPr>
        <color rgb="FF1155CC"/>
        <u/>
      </rPr>
      <t>https://help.jobis.co/hc/ko/articles/900003823426--%EC%A7%81%EC%9B%90-%EA%B8%89%EC%97%AC-%EC%99%B8-%EB%B9%A0%EC%A7%80%EB%8A%94-4%EB%8C%80%EB%B3%B4%ED%97%98-%EC%84%B8%EA%B8%88-%EB%93%B1-%EC%B4%9D%EC%A0%95%EB%A6%AC</t>
    </r>
    <r>
      <rPr/>
      <t xml:space="preserve"> (수치 구버전)</t>
    </r>
  </si>
  <si>
    <t>근로자부담</t>
  </si>
  <si>
    <t>사업주부담</t>
  </si>
  <si>
    <t>국민연금</t>
  </si>
  <si>
    <t>건강보험</t>
  </si>
  <si>
    <t>장기요양보험</t>
  </si>
  <si>
    <t>고용보험</t>
  </si>
  <si>
    <t>고용안정 직업능력개발 사업</t>
  </si>
  <si>
    <t>산재보험</t>
  </si>
  <si>
    <t>출퇴근재해</t>
  </si>
  <si>
    <t>임금채권기금 부담금</t>
  </si>
  <si>
    <t>석면피해구제 분담금</t>
  </si>
  <si>
    <t>소득세</t>
  </si>
  <si>
    <t>계산필요</t>
  </si>
  <si>
    <t>100만원 이상 대상</t>
  </si>
  <si>
    <t>지방소득세</t>
  </si>
  <si>
    <t>사업소득세</t>
  </si>
  <si>
    <t>https://partner.yogiyo.co.kr/content/view/%EC%84%B8%EA%B8%88-%EC%84%B8%EB%AC%B4-%EC%A0%88%EC%84%B8-%EC%A7%81%EC%9B%90-%EC%9B%90%EC%B2%9C%EC%A7%95%EC%88%98-%EC%84%B8%EA%B8%88%EC%8B%A0%EA%B3%A0-%EC%86%8C%EB%93%9D%EC%84%B8-%EC%A7%81%EC%9B%90%EC%86%8C%EB%93%9D%EC%84%B8-%EC%9B%90%EC%B2%9C%EC%84%B8-%EC%82%AC%EC%97%85%EC%86%8C%EB%93%9D%EC%8B%A0%EA%B3%A0</t>
  </si>
  <si>
    <t>https://psbox.tistory.com/10</t>
  </si>
  <si>
    <t>https://psbox.tistory.com/9</t>
  </si>
  <si>
    <t>공제총액</t>
  </si>
  <si>
    <t>-</t>
  </si>
  <si>
    <r>
      <rPr>
        <color rgb="FF1155CC"/>
        <u/>
      </rPr>
      <t>https://help.jobis.co/hc/ko/articles/900003823426--%EC%A7%81%EC%9B%90-%EA%B8%89%EC%97%AC-%EC%99%B8-%EB%B9%A0%EC%A7%80%EB%8A%94-4%EB%8C%80%EB%B3%B4%ED%97%98-%EC%84%B8%EA%B8%88-%EB%93%B1-%EC%B4%9D%EC%A0%95%EB%A6%AC</t>
    </r>
    <r>
      <rPr/>
      <t xml:space="preserve"> (수치 구버전)</t>
    </r>
  </si>
  <si>
    <r>
      <rPr>
        <color rgb="FF1155CC"/>
        <u/>
      </rPr>
      <t>https://help.jobis.co/hc/ko/articles/900003823426--%EC%A7%81%EC%9B%90-%EA%B8%89%EC%97%AC-%EC%99%B8-%EB%B9%A0%EC%A7%80%EB%8A%94-4%EB%8C%80%EB%B3%B4%ED%97%98-%EC%84%B8%EA%B8%88-%EB%93%B1-%EC%B4%9D%EC%A0%95%EB%A6%AC</t>
    </r>
    <r>
      <rPr/>
      <t xml:space="preserve"> (수치 구버전)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</si>
</sst>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₩-412]#,##0"/>
    <numFmt numFmtId="165" formatCode="[$₩-412]#,##0.00"/>
  </numFmts>
  <fonts count="8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  <font>
      <b/>
      <u/>
      <color rgb="FF0000FF"/>
    </font>
    <font>
      <b/>
      <color theme="1"/>
      <name val="Arial"/>
      <scheme val="minor"/>
    </font>
    <font>
      <b/>
      <color rgb="FFFF0000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164" xfId="0" applyAlignment="1" applyFill="1" applyFont="1" applyNumberFormat="1">
      <alignment readingOrder="0"/>
    </xf>
    <xf borderId="0" fillId="2" fontId="2" numFmtId="0" xfId="0" applyAlignment="1" applyFont="1">
      <alignment readingOrder="0"/>
    </xf>
    <xf borderId="0" fillId="0" fontId="2" numFmtId="3" xfId="0" applyFont="1" applyNumberFormat="1"/>
    <xf borderId="0" fillId="0" fontId="2" numFmtId="1" xfId="0" applyFont="1" applyNumberFormat="1"/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Font="1" applyNumberForma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2" fontId="7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saac Yun" id="{c531f787-5c09-473a-98ea-73b71685ce7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7" dT="2024-08-30T18:34:22.00" personId="{c531f787-5c09-473a-98ea-73b71685ce74}" id="{137fc929-0592-408e-a933-234da51effa6}" done="0">
    <x18tc:text xml:space="preserve">https://www.nodong.kr/income_tax#google_vignette</x18tc:text>
    <x18tc:extLst>
      <ext uri="{F7C98A9C-CBB3-438F-8F68-D28B6AF4A901}">
        <xltc2:checksum/>
        <xltc2:hyperlink startIndex="0" length="48" url="https://www.nodong.kr/income_tax#google_vignette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rsideteam.com/2d26a575-a760-4051-b49f-e302c8e6c070" TargetMode="External"/><Relationship Id="rId2" Type="http://schemas.openxmlformats.org/officeDocument/2006/relationships/hyperlink" Target="https://www.newploy.net/2024%EB%85%84-4%EB%8C%80%EB%B3%B4%ED%97%98-%EC%9A%94%EC%9C%A8/" TargetMode="External"/><Relationship Id="rId3" Type="http://schemas.openxmlformats.org/officeDocument/2006/relationships/hyperlink" Target="https://help.jobis.co/hc/ko/articles/900003823426--%EC%A7%81%EC%9B%90-%EA%B8%89%EC%97%AC-%EC%99%B8-%EB%B9%A0%EC%A7%80%EB%8A%94-4%EB%8C%80%EB%B3%B4%ED%97%98-%EC%84%B8%EA%B8%88-%EB%93%B1-%EC%B4%9D%EC%A0%95%EB%A6%AC" TargetMode="External"/><Relationship Id="rId4" Type="http://schemas.openxmlformats.org/officeDocument/2006/relationships/hyperlink" Target="https://www.nodong.kr/insure_cal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blog.naver.com/matilda0222/222975240560" TargetMode="External"/><Relationship Id="rId6" Type="http://schemas.openxmlformats.org/officeDocument/2006/relationships/hyperlink" Target="https://www.moel.go.kr/wageCal.do" TargetMode="External"/><Relationship Id="rId7" Type="http://schemas.openxmlformats.org/officeDocument/2006/relationships/hyperlink" Target="https://docs.google.com/spreadsheets/d/1A21Xfn-Zn4IPCOlB9V3fyfL2ua8DBvDqZUFll7n2V04/edit?gid=0" TargetMode="External"/><Relationship Id="rId8" Type="http://schemas.openxmlformats.org/officeDocument/2006/relationships/hyperlink" Target="https://docs.google.com/spreadsheets/d/1A21Xfn-Zn4IPCOlB9V3fyfL2ua8DBvDqZUFll7n2V04/edit?gid=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rsideteam.com/2d26a575-a760-4051-b49f-e302c8e6c070" TargetMode="External"/><Relationship Id="rId2" Type="http://schemas.openxmlformats.org/officeDocument/2006/relationships/hyperlink" Target="https://www.newploy.net/2024%EB%85%84-4%EB%8C%80%EB%B3%B4%ED%97%98-%EC%9A%94%EC%9C%A8/" TargetMode="External"/><Relationship Id="rId3" Type="http://schemas.openxmlformats.org/officeDocument/2006/relationships/hyperlink" Target="https://help.jobis.co/hc/ko/articles/900003823426--%EC%A7%81%EC%9B%90-%EA%B8%89%EC%97%AC-%EC%99%B8-%EB%B9%A0%EC%A7%80%EB%8A%94-4%EB%8C%80%EB%B3%B4%ED%97%98-%EC%84%B8%EA%B8%88-%EB%93%B1-%EC%B4%9D%EC%A0%95%EB%A6%AC" TargetMode="External"/><Relationship Id="rId4" Type="http://schemas.openxmlformats.org/officeDocument/2006/relationships/hyperlink" Target="https://www.nodong.kr/insure_cal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blog.naver.com/matilda0222/222975240560" TargetMode="External"/><Relationship Id="rId6" Type="http://schemas.openxmlformats.org/officeDocument/2006/relationships/hyperlink" Target="https://www.moel.go.kr/wageCal.do" TargetMode="External"/><Relationship Id="rId7" Type="http://schemas.openxmlformats.org/officeDocument/2006/relationships/hyperlink" Target="https://docs.google.com/spreadsheets/d/1A21Xfn-Zn4IPCOlB9V3fyfL2ua8DBvDqZUFll7n2V04/edit?gid=0" TargetMode="External"/><Relationship Id="rId8" Type="http://schemas.openxmlformats.org/officeDocument/2006/relationships/hyperlink" Target="https://docs.google.com/spreadsheets/d/1A21Xfn-Zn4IPCOlB9V3fyfL2ua8DBvDqZUFll7n2V04/edit?gid=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rsideteam.com/2d26a575-a760-4051-b49f-e302c8e6c070" TargetMode="External"/><Relationship Id="rId2" Type="http://schemas.openxmlformats.org/officeDocument/2006/relationships/hyperlink" Target="https://www.newploy.net/2024%EB%85%84-4%EB%8C%80%EB%B3%B4%ED%97%98-%EC%9A%94%EC%9C%A8/" TargetMode="External"/><Relationship Id="rId3" Type="http://schemas.openxmlformats.org/officeDocument/2006/relationships/hyperlink" Target="https://help.jobis.co/hc/ko/articles/900003823426--%EC%A7%81%EC%9B%90-%EA%B8%89%EC%97%AC-%EC%99%B8-%EB%B9%A0%EC%A7%80%EB%8A%94-4%EB%8C%80%EB%B3%B4%ED%97%98-%EC%84%B8%EA%B8%88-%EB%93%B1-%EC%B4%9D%EC%A0%95%EB%A6%AC" TargetMode="External"/><Relationship Id="rId4" Type="http://schemas.openxmlformats.org/officeDocument/2006/relationships/hyperlink" Target="https://www.nodong.kr/insure_cal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blog.naver.com/matilda0222/222975240560" TargetMode="External"/><Relationship Id="rId6" Type="http://schemas.openxmlformats.org/officeDocument/2006/relationships/hyperlink" Target="https://www.moel.go.kr/wageCal.do" TargetMode="External"/><Relationship Id="rId7" Type="http://schemas.openxmlformats.org/officeDocument/2006/relationships/hyperlink" Target="https://docs.google.com/spreadsheets/d/1A21Xfn-Zn4IPCOlB9V3fyfL2ua8DBvDqZUFll7n2V04/edit?gid=0" TargetMode="External"/><Relationship Id="rId8" Type="http://schemas.openxmlformats.org/officeDocument/2006/relationships/hyperlink" Target="https://docs.google.com/spreadsheets/d/1A21Xfn-Zn4IPCOlB9V3fyfL2ua8DBvDqZUFll7n2V04/edit?gid=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rsideteam.com/2d26a575-a760-4051-b49f-e302c8e6c070" TargetMode="External"/><Relationship Id="rId2" Type="http://schemas.openxmlformats.org/officeDocument/2006/relationships/hyperlink" Target="https://www.newploy.net/2024%EB%85%84-4%EB%8C%80%EB%B3%B4%ED%97%98-%EC%9A%94%EC%9C%A8/" TargetMode="External"/><Relationship Id="rId3" Type="http://schemas.openxmlformats.org/officeDocument/2006/relationships/hyperlink" Target="https://help.jobis.co/hc/ko/articles/900003823426--%EC%A7%81%EC%9B%90-%EA%B8%89%EC%97%AC-%EC%99%B8-%EB%B9%A0%EC%A7%80%EB%8A%94-4%EB%8C%80%EB%B3%B4%ED%97%98-%EC%84%B8%EA%B8%88-%EB%93%B1-%EC%B4%9D%EC%A0%95%EB%A6%AC" TargetMode="External"/><Relationship Id="rId4" Type="http://schemas.openxmlformats.org/officeDocument/2006/relationships/hyperlink" Target="https://www.nodong.kr/insure_cal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blog.naver.com/matilda0222/222975240560" TargetMode="External"/><Relationship Id="rId6" Type="http://schemas.openxmlformats.org/officeDocument/2006/relationships/hyperlink" Target="https://www.moel.go.kr/wageCal.do" TargetMode="External"/><Relationship Id="rId7" Type="http://schemas.openxmlformats.org/officeDocument/2006/relationships/hyperlink" Target="https://docs.google.com/spreadsheets/d/1A21Xfn-Zn4IPCOlB9V3fyfL2ua8DBvDqZUFll7n2V04/edit?gid=0" TargetMode="External"/><Relationship Id="rId8" Type="http://schemas.openxmlformats.org/officeDocument/2006/relationships/hyperlink" Target="https://docs.google.com/spreadsheets/d/1A21Xfn-Zn4IPCOlB9V3fyfL2ua8DBvDqZUFll7n2V04/edit?gid=0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rsideteam.com/2d26a575-a760-4051-b49f-e302c8e6c070" TargetMode="External"/><Relationship Id="rId2" Type="http://schemas.openxmlformats.org/officeDocument/2006/relationships/hyperlink" Target="https://www.newploy.net/2024%EB%85%84-4%EB%8C%80%EB%B3%B4%ED%97%98-%EC%9A%94%EC%9C%A8/" TargetMode="External"/><Relationship Id="rId3" Type="http://schemas.openxmlformats.org/officeDocument/2006/relationships/hyperlink" Target="https://help.jobis.co/hc/ko/articles/900003823426--%EC%A7%81%EC%9B%90-%EA%B8%89%EC%97%AC-%EC%99%B8-%EB%B9%A0%EC%A7%80%EB%8A%94-4%EB%8C%80%EB%B3%B4%ED%97%98-%EC%84%B8%EA%B8%88-%EB%93%B1-%EC%B4%9D%EC%A0%95%EB%A6%AC" TargetMode="External"/><Relationship Id="rId4" Type="http://schemas.openxmlformats.org/officeDocument/2006/relationships/hyperlink" Target="https://www.nodong.kr/insure_cal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blog.naver.com/matilda0222/222975240560" TargetMode="External"/><Relationship Id="rId6" Type="http://schemas.openxmlformats.org/officeDocument/2006/relationships/hyperlink" Target="https://www.moel.go.kr/wageCal.do" TargetMode="External"/><Relationship Id="rId7" Type="http://schemas.openxmlformats.org/officeDocument/2006/relationships/hyperlink" Target="https://docs.google.com/spreadsheets/d/1A21Xfn-Zn4IPCOlB9V3fyfL2ua8DBvDqZUFll7n2V04/edit?gid=0" TargetMode="External"/><Relationship Id="rId8" Type="http://schemas.openxmlformats.org/officeDocument/2006/relationships/hyperlink" Target="https://docs.google.com/spreadsheets/d/1A21Xfn-Zn4IPCOlB9V3fyfL2ua8DBvDqZUFll7n2V04/edit?gid=0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rsideteam.com/2d26a575-a760-4051-b49f-e302c8e6c070" TargetMode="External"/><Relationship Id="rId2" Type="http://schemas.openxmlformats.org/officeDocument/2006/relationships/hyperlink" Target="https://www.newploy.net/2024%EB%85%84-4%EB%8C%80%EB%B3%B4%ED%97%98-%EC%9A%94%EC%9C%A8/" TargetMode="External"/><Relationship Id="rId3" Type="http://schemas.openxmlformats.org/officeDocument/2006/relationships/hyperlink" Target="https://help.jobis.co/hc/ko/articles/900003823426--%EC%A7%81%EC%9B%90-%EA%B8%89%EC%97%AC-%EC%99%B8-%EB%B9%A0%EC%A7%80%EB%8A%94-4%EB%8C%80%EB%B3%B4%ED%97%98-%EC%84%B8%EA%B8%88-%EB%93%B1-%EC%B4%9D%EC%A0%95%EB%A6%AC" TargetMode="External"/><Relationship Id="rId4" Type="http://schemas.openxmlformats.org/officeDocument/2006/relationships/hyperlink" Target="https://www.nodong.kr/insure_cal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blog.naver.com/matilda0222/222975240560" TargetMode="External"/><Relationship Id="rId6" Type="http://schemas.openxmlformats.org/officeDocument/2006/relationships/hyperlink" Target="https://www.moel.go.kr/wageCal.do" TargetMode="External"/><Relationship Id="rId7" Type="http://schemas.openxmlformats.org/officeDocument/2006/relationships/hyperlink" Target="https://docs.google.com/spreadsheets/d/1A21Xfn-Zn4IPCOlB9V3fyfL2ua8DBvDqZUFll7n2V04/edit?gid=0" TargetMode="External"/><Relationship Id="rId8" Type="http://schemas.openxmlformats.org/officeDocument/2006/relationships/hyperlink" Target="https://docs.google.com/spreadsheets/d/1A21Xfn-Zn4IPCOlB9V3fyfL2ua8DBvDqZUFll7n2V04/edit?gid=0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rsideteam.com/2d26a575-a760-4051-b49f-e302c8e6c070" TargetMode="External"/><Relationship Id="rId2" Type="http://schemas.openxmlformats.org/officeDocument/2006/relationships/hyperlink" Target="https://www.newploy.net/2024%EB%85%84-4%EB%8C%80%EB%B3%B4%ED%97%98-%EC%9A%94%EC%9C%A8/" TargetMode="External"/><Relationship Id="rId3" Type="http://schemas.openxmlformats.org/officeDocument/2006/relationships/hyperlink" Target="https://help.jobis.co/hc/ko/articles/900003823426--%EC%A7%81%EC%9B%90-%EA%B8%89%EC%97%AC-%EC%99%B8-%EB%B9%A0%EC%A7%80%EB%8A%94-4%EB%8C%80%EB%B3%B4%ED%97%98-%EC%84%B8%EA%B8%88-%EB%93%B1-%EC%B4%9D%EC%A0%95%EB%A6%AC" TargetMode="External"/><Relationship Id="rId4" Type="http://schemas.openxmlformats.org/officeDocument/2006/relationships/hyperlink" Target="https://www.nodong.kr/insure_cal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s://blog.naver.com/matilda0222/222975240560" TargetMode="External"/><Relationship Id="rId6" Type="http://schemas.openxmlformats.org/officeDocument/2006/relationships/hyperlink" Target="https://www.moel.go.kr/wageCal.do" TargetMode="External"/><Relationship Id="rId7" Type="http://schemas.openxmlformats.org/officeDocument/2006/relationships/hyperlink" Target="https://docs.google.com/spreadsheets/d/1A21Xfn-Zn4IPCOlB9V3fyfL2ua8DBvDqZUFll7n2V04/edit?gid=0" TargetMode="External"/><Relationship Id="rId8" Type="http://schemas.openxmlformats.org/officeDocument/2006/relationships/hyperlink" Target="https://docs.google.com/spreadsheets/d/1GR-wzV6ptJDo21biMtnB-bnQPc6xD1w1bruq_bkWOG4/edit?gid=0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rsideteam.com/2d26a575-a760-4051-b49f-e302c8e6c070" TargetMode="External"/><Relationship Id="rId2" Type="http://schemas.openxmlformats.org/officeDocument/2006/relationships/hyperlink" Target="https://www.newploy.net/2024%EB%85%84-4%EB%8C%80%EB%B3%B4%ED%97%98-%EC%9A%94%EC%9C%A8/" TargetMode="External"/><Relationship Id="rId3" Type="http://schemas.openxmlformats.org/officeDocument/2006/relationships/hyperlink" Target="https://help.jobis.co/hc/ko/articles/900003823426--%EC%A7%81%EC%9B%90-%EA%B8%89%EC%97%AC-%EC%99%B8-%EB%B9%A0%EC%A7%80%EB%8A%94-4%EB%8C%80%EB%B3%B4%ED%97%98-%EC%84%B8%EA%B8%88-%EB%93%B1-%EC%B4%9D%EC%A0%95%EB%A6%AC" TargetMode="External"/><Relationship Id="rId4" Type="http://schemas.openxmlformats.org/officeDocument/2006/relationships/hyperlink" Target="https://www.nodong.kr/insure_cal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blog.naver.com/matilda0222/222975240560" TargetMode="External"/><Relationship Id="rId6" Type="http://schemas.openxmlformats.org/officeDocument/2006/relationships/hyperlink" Target="https://www.moel.go.kr/wageCal.do" TargetMode="External"/><Relationship Id="rId7" Type="http://schemas.openxmlformats.org/officeDocument/2006/relationships/hyperlink" Target="https://docs.google.com/spreadsheets/d/1A21Xfn-Zn4IPCOlB9V3fyfL2ua8DBvDqZUFll7n2V04/edit?gid=0" TargetMode="External"/><Relationship Id="rId8" Type="http://schemas.openxmlformats.org/officeDocument/2006/relationships/hyperlink" Target="https://docs.google.com/spreadsheets/d/1GR-wzV6ptJDo21biMtnB-bnQPc6xD1w1bruq_bkWOG4/edit?gid=0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rsideteam.com/2d26a575-a760-4051-b49f-e302c8e6c070" TargetMode="External"/><Relationship Id="rId2" Type="http://schemas.openxmlformats.org/officeDocument/2006/relationships/hyperlink" Target="https://www.newploy.net/2024%EB%85%84-4%EB%8C%80%EB%B3%B4%ED%97%98-%EC%9A%94%EC%9C%A8/" TargetMode="External"/><Relationship Id="rId3" Type="http://schemas.openxmlformats.org/officeDocument/2006/relationships/hyperlink" Target="https://help.jobis.co/hc/ko/articles/900003823426--%EC%A7%81%EC%9B%90-%EA%B8%89%EC%97%AC-%EC%99%B8-%EB%B9%A0%EC%A7%80%EB%8A%94-4%EB%8C%80%EB%B3%B4%ED%97%98-%EC%84%B8%EA%B8%88-%EB%93%B1-%EC%B4%9D%EC%A0%95%EB%A6%AC" TargetMode="External"/><Relationship Id="rId4" Type="http://schemas.openxmlformats.org/officeDocument/2006/relationships/hyperlink" Target="https://www.nodong.kr/insure_cal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blog.naver.com/matilda0222/222975240560" TargetMode="External"/><Relationship Id="rId6" Type="http://schemas.openxmlformats.org/officeDocument/2006/relationships/hyperlink" Target="https://www.moel.go.kr/wageCal.do" TargetMode="External"/><Relationship Id="rId7" Type="http://schemas.openxmlformats.org/officeDocument/2006/relationships/hyperlink" Target="https://docs.google.com/spreadsheets/d/1A21Xfn-Zn4IPCOlB9V3fyfL2ua8DBvDqZUFll7n2V04/edit?gid=0" TargetMode="External"/><Relationship Id="rId8" Type="http://schemas.openxmlformats.org/officeDocument/2006/relationships/hyperlink" Target="https://docs.google.com/spreadsheets/d/1GR-wzV6ptJDo21biMtnB-bnQPc6xD1w1bruq_bkWOG4/edit?gid=0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rsideteam.com/2d26a575-a760-4051-b49f-e302c8e6c070" TargetMode="External"/><Relationship Id="rId2" Type="http://schemas.openxmlformats.org/officeDocument/2006/relationships/hyperlink" Target="https://www.newploy.net/2024%EB%85%84-4%EB%8C%80%EB%B3%B4%ED%97%98-%EC%9A%94%EC%9C%A8/" TargetMode="External"/><Relationship Id="rId3" Type="http://schemas.openxmlformats.org/officeDocument/2006/relationships/hyperlink" Target="https://help.jobis.co/hc/ko/articles/900003823426--%EC%A7%81%EC%9B%90-%EA%B8%89%EC%97%AC-%EC%99%B8-%EB%B9%A0%EC%A7%80%EB%8A%94-4%EB%8C%80%EB%B3%B4%ED%97%98-%EC%84%B8%EA%B8%88-%EB%93%B1-%EC%B4%9D%EC%A0%95%EB%A6%AC" TargetMode="External"/><Relationship Id="rId4" Type="http://schemas.openxmlformats.org/officeDocument/2006/relationships/hyperlink" Target="https://www.nodong.kr/insure_cal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blog.naver.com/matilda0222/222975240560" TargetMode="External"/><Relationship Id="rId6" Type="http://schemas.openxmlformats.org/officeDocument/2006/relationships/hyperlink" Target="https://www.moel.go.kr/wageCal.do" TargetMode="External"/><Relationship Id="rId7" Type="http://schemas.openxmlformats.org/officeDocument/2006/relationships/hyperlink" Target="https://docs.google.com/spreadsheets/d/1A21Xfn-Zn4IPCOlB9V3fyfL2ua8DBvDqZUFll7n2V04/edit?gid=0" TargetMode="External"/><Relationship Id="rId8" Type="http://schemas.openxmlformats.org/officeDocument/2006/relationships/hyperlink" Target="https://docs.google.com/spreadsheets/d/1GR-wzV6ptJDo21biMtnB-bnQPc6xD1w1bruq_bkWOG4/edit?gid=0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rsideteam.com/2d26a575-a760-4051-b49f-e302c8e6c070" TargetMode="External"/><Relationship Id="rId2" Type="http://schemas.openxmlformats.org/officeDocument/2006/relationships/hyperlink" Target="https://www.newploy.net/2024%EB%85%84-4%EB%8C%80%EB%B3%B4%ED%97%98-%EC%9A%94%EC%9C%A8/" TargetMode="External"/><Relationship Id="rId3" Type="http://schemas.openxmlformats.org/officeDocument/2006/relationships/hyperlink" Target="https://help.jobis.co/hc/ko/articles/900003823426--%EC%A7%81%EC%9B%90-%EA%B8%89%EC%97%AC-%EC%99%B8-%EB%B9%A0%EC%A7%80%EB%8A%94-4%EB%8C%80%EB%B3%B4%ED%97%98-%EC%84%B8%EA%B8%88-%EB%93%B1-%EC%B4%9D%EC%A0%95%EB%A6%AC" TargetMode="External"/><Relationship Id="rId4" Type="http://schemas.openxmlformats.org/officeDocument/2006/relationships/hyperlink" Target="https://www.nodong.kr/insure_cal" TargetMode="External"/><Relationship Id="rId5" Type="http://schemas.openxmlformats.org/officeDocument/2006/relationships/hyperlink" Target="https://blog.naver.com/matilda0222/222975240560" TargetMode="External"/><Relationship Id="rId6" Type="http://schemas.openxmlformats.org/officeDocument/2006/relationships/hyperlink" Target="https://www.moel.go.kr/wageCal.do" TargetMode="External"/><Relationship Id="rId7" Type="http://schemas.openxmlformats.org/officeDocument/2006/relationships/hyperlink" Target="https://docs.google.com/spreadsheets/d/1A21Xfn-Zn4IPCOlB9V3fyfL2ua8DBvDqZUFll7n2V04/edit?gid=0" TargetMode="External"/><Relationship Id="rId8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rsideteam.com/2d26a575-a760-4051-b49f-e302c8e6c070" TargetMode="External"/><Relationship Id="rId2" Type="http://schemas.openxmlformats.org/officeDocument/2006/relationships/hyperlink" Target="https://www.newploy.net/2024%EB%85%84-4%EB%8C%80%EB%B3%B4%ED%97%98-%EC%9A%94%EC%9C%A8/" TargetMode="External"/><Relationship Id="rId3" Type="http://schemas.openxmlformats.org/officeDocument/2006/relationships/hyperlink" Target="https://help.jobis.co/hc/ko/articles/900003823426--%EC%A7%81%EC%9B%90-%EA%B8%89%EC%97%AC-%EC%99%B8-%EB%B9%A0%EC%A7%80%EB%8A%94-4%EB%8C%80%EB%B3%B4%ED%97%98-%EC%84%B8%EA%B8%88-%EB%93%B1-%EC%B4%9D%EC%A0%95%EB%A6%AC" TargetMode="External"/><Relationship Id="rId4" Type="http://schemas.openxmlformats.org/officeDocument/2006/relationships/hyperlink" Target="https://www.nodong.kr/insure_cal" TargetMode="External"/><Relationship Id="rId5" Type="http://schemas.openxmlformats.org/officeDocument/2006/relationships/hyperlink" Target="https://blog.naver.com/matilda0222/222975240560" TargetMode="External"/><Relationship Id="rId6" Type="http://schemas.openxmlformats.org/officeDocument/2006/relationships/hyperlink" Target="https://www.moel.go.kr/wageCal.do" TargetMode="External"/><Relationship Id="rId7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rsideteam.com/2d26a575-a760-4051-b49f-e302c8e6c070" TargetMode="External"/><Relationship Id="rId2" Type="http://schemas.openxmlformats.org/officeDocument/2006/relationships/hyperlink" Target="https://www.newploy.net/2024%EB%85%84-4%EB%8C%80%EB%B3%B4%ED%97%98-%EC%9A%94%EC%9C%A8/" TargetMode="External"/><Relationship Id="rId3" Type="http://schemas.openxmlformats.org/officeDocument/2006/relationships/hyperlink" Target="https://help.jobis.co/hc/ko/articles/900003823426--%EC%A7%81%EC%9B%90-%EA%B8%89%EC%97%AC-%EC%99%B8-%EB%B9%A0%EC%A7%80%EB%8A%94-4%EB%8C%80%EB%B3%B4%ED%97%98-%EC%84%B8%EA%B8%88-%EB%93%B1-%EC%B4%9D%EC%A0%95%EB%A6%AC" TargetMode="External"/><Relationship Id="rId4" Type="http://schemas.openxmlformats.org/officeDocument/2006/relationships/hyperlink" Target="https://www.nodong.kr/insure_cal" TargetMode="External"/><Relationship Id="rId5" Type="http://schemas.openxmlformats.org/officeDocument/2006/relationships/hyperlink" Target="https://blog.naver.com/matilda0222/222975240560" TargetMode="External"/><Relationship Id="rId6" Type="http://schemas.openxmlformats.org/officeDocument/2006/relationships/hyperlink" Target="https://www.moel.go.kr/wageCal.do" TargetMode="External"/><Relationship Id="rId7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rsideteam.com/2d26a575-a760-4051-b49f-e302c8e6c070" TargetMode="External"/><Relationship Id="rId2" Type="http://schemas.openxmlformats.org/officeDocument/2006/relationships/hyperlink" Target="https://www.newploy.net/2024%EB%85%84-4%EB%8C%80%EB%B3%B4%ED%97%98-%EC%9A%94%EC%9C%A8/" TargetMode="External"/><Relationship Id="rId3" Type="http://schemas.openxmlformats.org/officeDocument/2006/relationships/hyperlink" Target="https://help.jobis.co/hc/ko/articles/900003823426--%EC%A7%81%EC%9B%90-%EA%B8%89%EC%97%AC-%EC%99%B8-%EB%B9%A0%EC%A7%80%EB%8A%94-4%EB%8C%80%EB%B3%B4%ED%97%98-%EC%84%B8%EA%B8%88-%EB%93%B1-%EC%B4%9D%EC%A0%95%EB%A6%AC" TargetMode="External"/><Relationship Id="rId4" Type="http://schemas.openxmlformats.org/officeDocument/2006/relationships/hyperlink" Target="https://www.nodong.kr/insure_cal" TargetMode="External"/><Relationship Id="rId5" Type="http://schemas.openxmlformats.org/officeDocument/2006/relationships/hyperlink" Target="https://blog.naver.com/matilda0222/222975240560" TargetMode="External"/><Relationship Id="rId6" Type="http://schemas.openxmlformats.org/officeDocument/2006/relationships/hyperlink" Target="https://www.moel.go.kr/wageCal.do" TargetMode="External"/><Relationship Id="rId7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rsideteam.com/2d26a575-a760-4051-b49f-e302c8e6c070" TargetMode="External"/><Relationship Id="rId2" Type="http://schemas.openxmlformats.org/officeDocument/2006/relationships/hyperlink" Target="https://www.newploy.net/2024%EB%85%84-4%EB%8C%80%EB%B3%B4%ED%97%98-%EC%9A%94%EC%9C%A8/" TargetMode="External"/><Relationship Id="rId3" Type="http://schemas.openxmlformats.org/officeDocument/2006/relationships/hyperlink" Target="https://help.jobis.co/hc/ko/articles/900003823426--%EC%A7%81%EC%9B%90-%EA%B8%89%EC%97%AC-%EC%99%B8-%EB%B9%A0%EC%A7%80%EB%8A%94-4%EB%8C%80%EB%B3%B4%ED%97%98-%EC%84%B8%EA%B8%88-%EB%93%B1-%EC%B4%9D%EC%A0%95%EB%A6%AC" TargetMode="External"/><Relationship Id="rId4" Type="http://schemas.openxmlformats.org/officeDocument/2006/relationships/hyperlink" Target="https://www.nodong.kr/insure_cal" TargetMode="External"/><Relationship Id="rId5" Type="http://schemas.openxmlformats.org/officeDocument/2006/relationships/hyperlink" Target="https://blog.naver.com/matilda0222/222975240560" TargetMode="External"/><Relationship Id="rId6" Type="http://schemas.openxmlformats.org/officeDocument/2006/relationships/hyperlink" Target="https://www.moel.go.kr/wageCal.do" TargetMode="External"/><Relationship Id="rId7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rsideteam.com/2d26a575-a760-4051-b49f-e302c8e6c070" TargetMode="External"/><Relationship Id="rId2" Type="http://schemas.openxmlformats.org/officeDocument/2006/relationships/hyperlink" Target="https://www.newploy.net/2024%EB%85%84-4%EB%8C%80%EB%B3%B4%ED%97%98-%EC%9A%94%EC%9C%A8/" TargetMode="External"/><Relationship Id="rId3" Type="http://schemas.openxmlformats.org/officeDocument/2006/relationships/hyperlink" Target="https://help.jobis.co/hc/ko/articles/900003823426--%EC%A7%81%EC%9B%90-%EA%B8%89%EC%97%AC-%EC%99%B8-%EB%B9%A0%EC%A7%80%EB%8A%94-4%EB%8C%80%EB%B3%B4%ED%97%98-%EC%84%B8%EA%B8%88-%EB%93%B1-%EC%B4%9D%EC%A0%95%EB%A6%AC" TargetMode="External"/><Relationship Id="rId4" Type="http://schemas.openxmlformats.org/officeDocument/2006/relationships/hyperlink" Target="https://www.nodong.kr/insure_cal" TargetMode="External"/><Relationship Id="rId5" Type="http://schemas.openxmlformats.org/officeDocument/2006/relationships/hyperlink" Target="https://blog.naver.com/matilda0222/222975240560" TargetMode="External"/><Relationship Id="rId6" Type="http://schemas.openxmlformats.org/officeDocument/2006/relationships/hyperlink" Target="https://www.moel.go.kr/wageCal.do" TargetMode="External"/><Relationship Id="rId7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rsideteam.com/2d26a575-a760-4051-b49f-e302c8e6c070" TargetMode="External"/><Relationship Id="rId2" Type="http://schemas.openxmlformats.org/officeDocument/2006/relationships/hyperlink" Target="https://www.newploy.net/2024%EB%85%84-4%EB%8C%80%EB%B3%B4%ED%97%98-%EC%9A%94%EC%9C%A8/" TargetMode="External"/><Relationship Id="rId3" Type="http://schemas.openxmlformats.org/officeDocument/2006/relationships/hyperlink" Target="https://help.jobis.co/hc/ko/articles/900003823426--%EC%A7%81%EC%9B%90-%EA%B8%89%EC%97%AC-%EC%99%B8-%EB%B9%A0%EC%A7%80%EB%8A%94-4%EB%8C%80%EB%B3%B4%ED%97%98-%EC%84%B8%EA%B8%88-%EB%93%B1-%EC%B4%9D%EC%A0%95%EB%A6%AC" TargetMode="External"/><Relationship Id="rId4" Type="http://schemas.openxmlformats.org/officeDocument/2006/relationships/hyperlink" Target="https://www.nodong.kr/insure_cal" TargetMode="External"/><Relationship Id="rId11" Type="http://schemas.openxmlformats.org/officeDocument/2006/relationships/drawing" Target="../drawings/drawing17.xml"/><Relationship Id="rId10" Type="http://schemas.openxmlformats.org/officeDocument/2006/relationships/hyperlink" Target="https://psbox.tistory.com/9" TargetMode="External"/><Relationship Id="rId9" Type="http://schemas.openxmlformats.org/officeDocument/2006/relationships/hyperlink" Target="https://psbox.tistory.com/10" TargetMode="External"/><Relationship Id="rId5" Type="http://schemas.openxmlformats.org/officeDocument/2006/relationships/hyperlink" Target="https://blog.naver.com/matilda0222/222975240560" TargetMode="External"/><Relationship Id="rId6" Type="http://schemas.openxmlformats.org/officeDocument/2006/relationships/hyperlink" Target="https://www.moel.go.kr/wageCal.do" TargetMode="External"/><Relationship Id="rId7" Type="http://schemas.openxmlformats.org/officeDocument/2006/relationships/hyperlink" Target="https://www.nodong.kr/insure_cal" TargetMode="External"/><Relationship Id="rId8" Type="http://schemas.openxmlformats.org/officeDocument/2006/relationships/hyperlink" Target="https://partner.yogiyo.co.kr/content/view/%EC%84%B8%EA%B8%88-%EC%84%B8%EB%AC%B4-%EC%A0%88%EC%84%B8-%EC%A7%81%EC%9B%90-%EC%9B%90%EC%B2%9C%EC%A7%95%EC%88%98-%EC%84%B8%EA%B8%88%EC%8B%A0%EA%B3%A0-%EC%86%8C%EB%93%9D%EC%84%B8-%EC%A7%81%EC%9B%90%EC%86%8C%EB%93%9D%EC%84%B8-%EC%9B%90%EC%B2%9C%EC%84%B8-%EC%82%AC%EC%97%85%EC%86%8C%EB%93%9D%EC%8B%A0%EA%B3%A0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rsideteam.com/2d26a575-a760-4051-b49f-e302c8e6c070" TargetMode="External"/><Relationship Id="rId2" Type="http://schemas.openxmlformats.org/officeDocument/2006/relationships/hyperlink" Target="https://www.newploy.net/2024%EB%85%84-4%EB%8C%80%EB%B3%B4%ED%97%98-%EC%9A%94%EC%9C%A8/" TargetMode="External"/><Relationship Id="rId3" Type="http://schemas.openxmlformats.org/officeDocument/2006/relationships/hyperlink" Target="https://help.jobis.co/hc/ko/articles/900003823426--%EC%A7%81%EC%9B%90-%EA%B8%89%EC%97%AC-%EC%99%B8-%EB%B9%A0%EC%A7%80%EB%8A%94-4%EB%8C%80%EB%B3%B4%ED%97%98-%EC%84%B8%EA%B8%88-%EB%93%B1-%EC%B4%9D%EC%A0%95%EB%A6%AC" TargetMode="External"/><Relationship Id="rId4" Type="http://schemas.openxmlformats.org/officeDocument/2006/relationships/hyperlink" Target="https://www.nodong.kr/insure_cal" TargetMode="External"/><Relationship Id="rId11" Type="http://schemas.openxmlformats.org/officeDocument/2006/relationships/drawing" Target="../drawings/drawing18.xml"/><Relationship Id="rId10" Type="http://schemas.openxmlformats.org/officeDocument/2006/relationships/hyperlink" Target="https://psbox.tistory.com/9" TargetMode="External"/><Relationship Id="rId9" Type="http://schemas.openxmlformats.org/officeDocument/2006/relationships/hyperlink" Target="https://psbox.tistory.com/10" TargetMode="External"/><Relationship Id="rId5" Type="http://schemas.openxmlformats.org/officeDocument/2006/relationships/hyperlink" Target="https://blog.naver.com/matilda0222/222975240560" TargetMode="External"/><Relationship Id="rId6" Type="http://schemas.openxmlformats.org/officeDocument/2006/relationships/hyperlink" Target="https://www.moel.go.kr/wageCal.do" TargetMode="External"/><Relationship Id="rId7" Type="http://schemas.openxmlformats.org/officeDocument/2006/relationships/hyperlink" Target="https://www.nodong.kr/insure_cal" TargetMode="External"/><Relationship Id="rId8" Type="http://schemas.openxmlformats.org/officeDocument/2006/relationships/hyperlink" Target="https://partner.yogiyo.co.kr/content/view/%EC%84%B8%EA%B8%88-%EC%84%B8%EB%AC%B4-%EC%A0%88%EC%84%B8-%EC%A7%81%EC%9B%90-%EC%9B%90%EC%B2%9C%EC%A7%95%EC%88%98-%EC%84%B8%EA%B8%88%EC%8B%A0%EA%B3%A0-%EC%86%8C%EB%93%9D%EC%84%B8-%EC%A7%81%EC%9B%90%EC%86%8C%EB%93%9D%EC%84%B8-%EC%9B%90%EC%B2%9C%EC%84%B8-%EC%82%AC%EC%97%85%EC%86%8C%EB%93%9D%EC%8B%A0%EA%B3%A0" TargetMode="External"/></Relationships>
</file>

<file path=xl/worksheets/_rels/sheet19.xml.rels><?xml version="1.0" encoding="UTF-8" standalone="yes"?><Relationships xmlns="http://schemas.openxmlformats.org/package/2006/relationships"><Relationship Id="rId11" Type="http://schemas.openxmlformats.org/officeDocument/2006/relationships/hyperlink" Target="https://partner.yogiyo.co.kr/content/view/%EC%84%B8%EA%B8%88-%EC%84%B8%EB%AC%B4-%EC%A0%88%EC%84%B8-%EC%A7%81%EC%9B%90-%EC%9B%90%EC%B2%9C%EC%A7%95%EC%88%98-%EC%84%B8%EA%B8%88%EC%8B%A0%EA%B3%A0-%EC%86%8C%EB%93%9D%EC%84%B8-%EC%A7%81%EC%9B%90%EC%86%8C%EB%93%9D%EC%84%B8-%EC%9B%90%EC%B2%9C%EC%84%B8-%EC%82%AC%EC%97%85%EC%86%8C%EB%93%9D%EC%8B%A0%EA%B3%A0" TargetMode="External"/><Relationship Id="rId10" Type="http://schemas.openxmlformats.org/officeDocument/2006/relationships/hyperlink" Target="https://www.nodong.kr/insure_cal" TargetMode="External"/><Relationship Id="rId13" Type="http://schemas.openxmlformats.org/officeDocument/2006/relationships/hyperlink" Target="https://psbox.tistory.com/9" TargetMode="External"/><Relationship Id="rId12" Type="http://schemas.openxmlformats.org/officeDocument/2006/relationships/hyperlink" Target="https://psbox.tistory.com/10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hrsideteam.com/2d26a575-a760-4051-b49f-e302c8e6c070" TargetMode="External"/><Relationship Id="rId9" Type="http://schemas.openxmlformats.org/officeDocument/2006/relationships/hyperlink" Target="https://www.moel.go.kr/wageCal.do" TargetMode="External"/><Relationship Id="rId15" Type="http://schemas.openxmlformats.org/officeDocument/2006/relationships/vmlDrawing" Target="../drawings/vmlDrawing1.vml"/><Relationship Id="rId14" Type="http://schemas.openxmlformats.org/officeDocument/2006/relationships/drawing" Target="../drawings/drawing19.xml"/><Relationship Id="rId5" Type="http://schemas.openxmlformats.org/officeDocument/2006/relationships/hyperlink" Target="https://www.newploy.net/2024%EB%85%84-4%EB%8C%80%EB%B3%B4%ED%97%98-%EC%9A%94%EC%9C%A8/" TargetMode="External"/><Relationship Id="rId6" Type="http://schemas.openxmlformats.org/officeDocument/2006/relationships/hyperlink" Target="https://help.jobis.co/hc/ko/articles/900003823426--%EC%A7%81%EC%9B%90-%EA%B8%89%EC%97%AC-%EC%99%B8-%EB%B9%A0%EC%A7%80%EB%8A%94-4%EB%8C%80%EB%B3%B4%ED%97%98-%EC%84%B8%EA%B8%88-%EB%93%B1-%EC%B4%9D%EC%A0%95%EB%A6%AC" TargetMode="External"/><Relationship Id="rId7" Type="http://schemas.openxmlformats.org/officeDocument/2006/relationships/hyperlink" Target="https://www.nodong.kr/insure_cal" TargetMode="External"/><Relationship Id="rId8" Type="http://schemas.openxmlformats.org/officeDocument/2006/relationships/hyperlink" Target="https://blog.naver.com/matilda0222/2229752405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.75"/>
    <col customWidth="1" min="5" max="5" width="9.25"/>
    <col customWidth="1" min="8" max="9" width="2.25"/>
    <col customWidth="1" min="12" max="12" width="2.13"/>
    <col customWidth="1" min="13" max="13" width="2.25"/>
    <col customWidth="1" min="16" max="16" width="2.5"/>
    <col customWidth="1" min="19" max="19" width="2.5"/>
  </cols>
  <sheetData>
    <row r="1">
      <c r="H1" s="1" t="s">
        <v>0</v>
      </c>
    </row>
    <row r="2">
      <c r="H2" s="1" t="s">
        <v>1</v>
      </c>
    </row>
    <row r="3">
      <c r="G3" s="2" t="s">
        <v>2</v>
      </c>
      <c r="H3" s="1" t="s">
        <v>3</v>
      </c>
    </row>
    <row r="4">
      <c r="G4" s="2" t="s">
        <v>4</v>
      </c>
      <c r="H4" s="3" t="s">
        <v>5</v>
      </c>
    </row>
    <row r="5">
      <c r="G5" s="2" t="s">
        <v>6</v>
      </c>
      <c r="H5" s="3" t="s">
        <v>7</v>
      </c>
    </row>
    <row r="6">
      <c r="G6" s="2" t="s">
        <v>8</v>
      </c>
      <c r="H6" s="3" t="s">
        <v>9</v>
      </c>
    </row>
    <row r="8">
      <c r="G8" s="2" t="s">
        <v>10</v>
      </c>
      <c r="H8" s="3" t="s">
        <v>11</v>
      </c>
    </row>
    <row r="9">
      <c r="G9" s="4" t="s">
        <v>12</v>
      </c>
    </row>
    <row r="11">
      <c r="B11" s="2" t="s">
        <v>13</v>
      </c>
      <c r="C11" s="2" t="s">
        <v>14</v>
      </c>
      <c r="F11" s="2" t="s">
        <v>13</v>
      </c>
      <c r="G11" s="2" t="s">
        <v>15</v>
      </c>
      <c r="J11" s="2" t="s">
        <v>13</v>
      </c>
      <c r="K11" s="2" t="s">
        <v>16</v>
      </c>
      <c r="N11" s="2" t="s">
        <v>13</v>
      </c>
      <c r="O11" s="2" t="s">
        <v>17</v>
      </c>
      <c r="Q11" s="2" t="s">
        <v>13</v>
      </c>
      <c r="R11" s="2" t="s">
        <v>18</v>
      </c>
    </row>
    <row r="12">
      <c r="B12" s="2" t="s">
        <v>19</v>
      </c>
      <c r="C12" s="5">
        <v>10400.0</v>
      </c>
      <c r="F12" s="2" t="s">
        <v>19</v>
      </c>
      <c r="G12" s="5">
        <v>10400.0</v>
      </c>
      <c r="J12" s="2" t="s">
        <v>19</v>
      </c>
      <c r="K12" s="5">
        <v>10400.0</v>
      </c>
      <c r="N12" s="2" t="s">
        <v>19</v>
      </c>
      <c r="O12" s="5">
        <v>10400.0</v>
      </c>
      <c r="Q12" s="2" t="s">
        <v>19</v>
      </c>
      <c r="R12" s="5">
        <v>10400.0</v>
      </c>
      <c r="U12" s="5"/>
      <c r="X12" s="5"/>
    </row>
    <row r="13">
      <c r="B13" s="2" t="s">
        <v>20</v>
      </c>
      <c r="C13" s="6">
        <v>145.5</v>
      </c>
      <c r="F13" s="2" t="s">
        <v>20</v>
      </c>
      <c r="G13" s="6">
        <v>15.0</v>
      </c>
      <c r="J13" s="2" t="s">
        <v>20</v>
      </c>
      <c r="K13" s="6"/>
      <c r="N13" s="2" t="s">
        <v>20</v>
      </c>
      <c r="O13" s="6"/>
      <c r="Q13" s="2" t="s">
        <v>20</v>
      </c>
      <c r="R13" s="6"/>
      <c r="U13" s="6"/>
      <c r="X13" s="6"/>
    </row>
    <row r="14">
      <c r="B14" s="2" t="s">
        <v>21</v>
      </c>
      <c r="C14" s="7">
        <f>C12*C13</f>
        <v>1513200</v>
      </c>
      <c r="F14" s="2" t="s">
        <v>21</v>
      </c>
      <c r="G14" s="7">
        <f>G12*G13</f>
        <v>156000</v>
      </c>
      <c r="J14" s="2" t="s">
        <v>21</v>
      </c>
      <c r="K14" s="7">
        <f>K12*K13</f>
        <v>0</v>
      </c>
      <c r="N14" s="2" t="s">
        <v>21</v>
      </c>
      <c r="O14" s="7">
        <f>O12*O13</f>
        <v>0</v>
      </c>
      <c r="Q14" s="2" t="s">
        <v>21</v>
      </c>
      <c r="R14" s="7">
        <f>R12*R13</f>
        <v>0</v>
      </c>
      <c r="U14" s="7"/>
      <c r="X14" s="7"/>
    </row>
    <row r="15">
      <c r="B15" s="2" t="s">
        <v>22</v>
      </c>
      <c r="C15" s="8">
        <f>C14*0.033</f>
        <v>49935.6</v>
      </c>
      <c r="F15" s="2" t="s">
        <v>22</v>
      </c>
      <c r="G15" s="8">
        <f>G14*0.033</f>
        <v>5148</v>
      </c>
      <c r="J15" s="2" t="s">
        <v>22</v>
      </c>
      <c r="K15" s="8">
        <f>K14*0.033</f>
        <v>0</v>
      </c>
      <c r="N15" s="2" t="s">
        <v>22</v>
      </c>
      <c r="O15" s="8">
        <f>O14*0.033</f>
        <v>0</v>
      </c>
      <c r="Q15" s="2" t="s">
        <v>22</v>
      </c>
      <c r="R15" s="8">
        <f>R14*0.033</f>
        <v>0</v>
      </c>
      <c r="U15" s="8"/>
      <c r="X15" s="8"/>
    </row>
    <row r="17">
      <c r="B17" s="2" t="s">
        <v>23</v>
      </c>
      <c r="C17" s="7">
        <f>C14-C15</f>
        <v>1463264.4</v>
      </c>
      <c r="F17" s="2" t="s">
        <v>23</v>
      </c>
      <c r="G17" s="7">
        <f>G14-G15</f>
        <v>150852</v>
      </c>
      <c r="J17" s="2" t="s">
        <v>23</v>
      </c>
      <c r="K17" s="7">
        <f>K14-K15</f>
        <v>0</v>
      </c>
      <c r="N17" s="2" t="s">
        <v>23</v>
      </c>
      <c r="O17" s="7">
        <f>O14-O15</f>
        <v>0</v>
      </c>
      <c r="Q17" s="2" t="s">
        <v>23</v>
      </c>
      <c r="R17" s="7">
        <f>R14-R15</f>
        <v>0</v>
      </c>
    </row>
    <row r="18">
      <c r="C18" s="9"/>
      <c r="K18" s="10"/>
      <c r="O18" s="10"/>
      <c r="R18" s="10"/>
    </row>
    <row r="19">
      <c r="C19" s="2" t="s">
        <v>24</v>
      </c>
      <c r="G19" s="11" t="s">
        <v>25</v>
      </c>
    </row>
    <row r="20">
      <c r="G20" s="11" t="s">
        <v>26</v>
      </c>
    </row>
    <row r="21">
      <c r="O21" s="7"/>
    </row>
    <row r="22">
      <c r="C22" s="8"/>
      <c r="O22" s="8"/>
      <c r="R22" s="10"/>
    </row>
    <row r="24">
      <c r="C24" s="9"/>
      <c r="E24" s="2" t="s">
        <v>27</v>
      </c>
      <c r="F24" s="7">
        <f>C14+G14+K14+O14+R14+U14+X14</f>
        <v>1669200</v>
      </c>
      <c r="K24" s="12"/>
      <c r="O24" s="7"/>
      <c r="R24" s="7"/>
    </row>
    <row r="25">
      <c r="E25" s="2" t="s">
        <v>28</v>
      </c>
      <c r="F25" s="7">
        <f>C17+G17+K17+O17+R17+U17+X17</f>
        <v>1614116.4</v>
      </c>
      <c r="K25" s="12"/>
      <c r="R25" s="8"/>
    </row>
    <row r="26">
      <c r="K26" s="12"/>
    </row>
    <row r="27">
      <c r="K27" s="12"/>
      <c r="R27" s="7"/>
    </row>
    <row r="28">
      <c r="K28" s="12"/>
    </row>
  </sheetData>
  <hyperlinks>
    <hyperlink r:id="rId1" ref="H1"/>
    <hyperlink r:id="rId2" ref="H2"/>
    <hyperlink r:id="rId3" ref="H3"/>
    <hyperlink r:id="rId4" ref="H4"/>
    <hyperlink r:id="rId5" ref="H5"/>
    <hyperlink r:id="rId6" ref="H6"/>
    <hyperlink r:id="rId7" location="gid=0" ref="H8"/>
    <hyperlink r:id="rId8" location="gid=0" ref="G9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.75"/>
    <col customWidth="1" min="5" max="5" width="9.25"/>
    <col customWidth="1" min="8" max="9" width="2.25"/>
    <col customWidth="1" min="12" max="12" width="2.13"/>
    <col customWidth="1" min="13" max="13" width="2.25"/>
    <col customWidth="1" min="16" max="16" width="2.5"/>
    <col customWidth="1" min="19" max="19" width="2.5"/>
  </cols>
  <sheetData>
    <row r="1">
      <c r="H1" s="1" t="s">
        <v>0</v>
      </c>
    </row>
    <row r="2">
      <c r="H2" s="1" t="s">
        <v>1</v>
      </c>
    </row>
    <row r="3">
      <c r="G3" s="2" t="s">
        <v>2</v>
      </c>
      <c r="H3" s="1" t="s">
        <v>29</v>
      </c>
    </row>
    <row r="4">
      <c r="G4" s="2" t="s">
        <v>4</v>
      </c>
      <c r="H4" s="3" t="s">
        <v>5</v>
      </c>
    </row>
    <row r="5">
      <c r="G5" s="2" t="s">
        <v>6</v>
      </c>
      <c r="H5" s="3" t="s">
        <v>7</v>
      </c>
    </row>
    <row r="6">
      <c r="G6" s="2" t="s">
        <v>8</v>
      </c>
      <c r="H6" s="3" t="s">
        <v>9</v>
      </c>
    </row>
    <row r="8">
      <c r="G8" s="2" t="s">
        <v>10</v>
      </c>
      <c r="H8" s="3" t="s">
        <v>11</v>
      </c>
    </row>
    <row r="9">
      <c r="G9" s="4" t="s">
        <v>30</v>
      </c>
    </row>
    <row r="11">
      <c r="B11" s="2" t="s">
        <v>13</v>
      </c>
      <c r="C11" s="2" t="s">
        <v>14</v>
      </c>
      <c r="F11" s="2" t="s">
        <v>13</v>
      </c>
      <c r="G11" s="2" t="s">
        <v>15</v>
      </c>
      <c r="J11" s="2" t="s">
        <v>13</v>
      </c>
      <c r="K11" s="2" t="s">
        <v>16</v>
      </c>
      <c r="N11" s="2" t="s">
        <v>13</v>
      </c>
      <c r="O11" s="2" t="s">
        <v>17</v>
      </c>
      <c r="Q11" s="2" t="s">
        <v>13</v>
      </c>
      <c r="R11" s="2" t="s">
        <v>18</v>
      </c>
      <c r="T11" s="2" t="s">
        <v>13</v>
      </c>
      <c r="U11" s="2" t="s">
        <v>31</v>
      </c>
      <c r="W11" s="2" t="s">
        <v>13</v>
      </c>
      <c r="X11" s="2" t="s">
        <v>32</v>
      </c>
    </row>
    <row r="12">
      <c r="B12" s="2" t="s">
        <v>19</v>
      </c>
      <c r="C12" s="5">
        <v>10400.0</v>
      </c>
      <c r="F12" s="2" t="s">
        <v>19</v>
      </c>
      <c r="G12" s="5">
        <v>10400.0</v>
      </c>
      <c r="J12" s="2" t="s">
        <v>19</v>
      </c>
      <c r="K12" s="5">
        <v>10400.0</v>
      </c>
      <c r="N12" s="2" t="s">
        <v>19</v>
      </c>
      <c r="O12" s="5">
        <v>10400.0</v>
      </c>
      <c r="Q12" s="2" t="s">
        <v>19</v>
      </c>
      <c r="R12" s="5">
        <v>10400.0</v>
      </c>
      <c r="T12" s="2" t="s">
        <v>19</v>
      </c>
      <c r="U12" s="5">
        <v>10400.0</v>
      </c>
      <c r="W12" s="2" t="s">
        <v>19</v>
      </c>
      <c r="X12" s="5">
        <v>10400.0</v>
      </c>
    </row>
    <row r="13">
      <c r="B13" s="2" t="s">
        <v>20</v>
      </c>
      <c r="C13" s="6">
        <v>138.0</v>
      </c>
      <c r="F13" s="2" t="s">
        <v>20</v>
      </c>
      <c r="G13" s="6">
        <v>55.0</v>
      </c>
      <c r="J13" s="2" t="s">
        <v>20</v>
      </c>
      <c r="K13" s="6">
        <v>120.5</v>
      </c>
      <c r="N13" s="2" t="s">
        <v>20</v>
      </c>
      <c r="O13" s="6">
        <v>59.0</v>
      </c>
      <c r="Q13" s="2" t="s">
        <v>20</v>
      </c>
      <c r="R13" s="6">
        <v>59.0</v>
      </c>
      <c r="T13" s="2" t="s">
        <v>20</v>
      </c>
      <c r="U13" s="6">
        <v>6.0</v>
      </c>
      <c r="W13" s="2" t="s">
        <v>20</v>
      </c>
      <c r="X13" s="6">
        <v>6.0</v>
      </c>
    </row>
    <row r="14">
      <c r="B14" s="2" t="s">
        <v>21</v>
      </c>
      <c r="C14" s="7">
        <f>C12*C13</f>
        <v>1435200</v>
      </c>
      <c r="F14" s="2" t="s">
        <v>21</v>
      </c>
      <c r="G14" s="7">
        <f>G12*G13</f>
        <v>572000</v>
      </c>
      <c r="J14" s="2" t="s">
        <v>21</v>
      </c>
      <c r="K14" s="7">
        <f>K12*K13</f>
        <v>1253200</v>
      </c>
      <c r="N14" s="2" t="s">
        <v>21</v>
      </c>
      <c r="O14" s="7">
        <f>O12*O13</f>
        <v>613600</v>
      </c>
      <c r="Q14" s="2" t="s">
        <v>21</v>
      </c>
      <c r="R14" s="7">
        <f>R12*R13</f>
        <v>613600</v>
      </c>
      <c r="T14" s="2" t="s">
        <v>21</v>
      </c>
      <c r="U14" s="7">
        <f>U12*U13</f>
        <v>62400</v>
      </c>
      <c r="W14" s="2" t="s">
        <v>21</v>
      </c>
      <c r="X14" s="7">
        <f>X12*X13</f>
        <v>62400</v>
      </c>
    </row>
    <row r="15">
      <c r="B15" s="2" t="s">
        <v>22</v>
      </c>
      <c r="C15" s="8">
        <f>C14*0.033</f>
        <v>47361.6</v>
      </c>
      <c r="F15" s="2" t="s">
        <v>22</v>
      </c>
      <c r="G15" s="8">
        <f>G14*0.033</f>
        <v>18876</v>
      </c>
      <c r="J15" s="2" t="s">
        <v>22</v>
      </c>
      <c r="K15" s="8">
        <f>K14*0.033</f>
        <v>41355.6</v>
      </c>
      <c r="N15" s="2" t="s">
        <v>22</v>
      </c>
      <c r="O15" s="8">
        <f>O14*0.033</f>
        <v>20248.8</v>
      </c>
      <c r="Q15" s="2" t="s">
        <v>22</v>
      </c>
      <c r="R15" s="8">
        <f>R14*0.033</f>
        <v>20248.8</v>
      </c>
      <c r="T15" s="2" t="s">
        <v>22</v>
      </c>
      <c r="U15" s="8">
        <f>U14*0.033</f>
        <v>2059.2</v>
      </c>
      <c r="W15" s="2" t="s">
        <v>22</v>
      </c>
      <c r="X15" s="8">
        <f>X14*0.033</f>
        <v>2059.2</v>
      </c>
    </row>
    <row r="17">
      <c r="B17" s="2" t="s">
        <v>23</v>
      </c>
      <c r="C17" s="7">
        <f>C14-C15</f>
        <v>1387838.4</v>
      </c>
      <c r="F17" s="2" t="s">
        <v>23</v>
      </c>
      <c r="G17" s="7">
        <f>G14-G15</f>
        <v>553124</v>
      </c>
      <c r="J17" s="2" t="s">
        <v>23</v>
      </c>
      <c r="K17" s="7">
        <f>K14-K15</f>
        <v>1211844.4</v>
      </c>
      <c r="N17" s="2" t="s">
        <v>23</v>
      </c>
      <c r="O17" s="7">
        <f>O14-O15</f>
        <v>593351.2</v>
      </c>
      <c r="Q17" s="2" t="s">
        <v>23</v>
      </c>
      <c r="R17" s="7">
        <f>R14-R15</f>
        <v>593351.2</v>
      </c>
      <c r="T17" s="2" t="s">
        <v>23</v>
      </c>
      <c r="U17" s="7">
        <f>U14-U15</f>
        <v>60340.8</v>
      </c>
      <c r="W17" s="2" t="s">
        <v>23</v>
      </c>
      <c r="X17" s="7">
        <f>X14-X15</f>
        <v>60340.8</v>
      </c>
    </row>
    <row r="18">
      <c r="C18" s="9"/>
      <c r="K18" s="10"/>
      <c r="O18" s="10"/>
      <c r="R18" s="10"/>
      <c r="U18" s="2" t="s">
        <v>33</v>
      </c>
      <c r="X18" s="2" t="s">
        <v>34</v>
      </c>
    </row>
    <row r="19">
      <c r="C19" s="2"/>
      <c r="F19" s="2" t="s">
        <v>35</v>
      </c>
      <c r="G19" s="11">
        <v>1315856.0</v>
      </c>
    </row>
    <row r="20">
      <c r="F20" s="2" t="s">
        <v>36</v>
      </c>
      <c r="G20" s="7">
        <f>G19*0.033</f>
        <v>43423.248</v>
      </c>
    </row>
    <row r="21">
      <c r="F21" s="2" t="s">
        <v>37</v>
      </c>
      <c r="G21" s="7">
        <f>G19-G20</f>
        <v>1272432.752</v>
      </c>
      <c r="O21" s="7"/>
    </row>
    <row r="22">
      <c r="C22" s="8"/>
      <c r="O22" s="8"/>
      <c r="R22" s="10"/>
    </row>
    <row r="24">
      <c r="C24" s="9"/>
      <c r="E24" s="2" t="s">
        <v>27</v>
      </c>
      <c r="F24" s="7">
        <f>C14+G14+K14+O14+R14+U14+X14</f>
        <v>4612400</v>
      </c>
      <c r="K24" s="12"/>
      <c r="O24" s="7"/>
      <c r="R24" s="7"/>
    </row>
    <row r="25">
      <c r="E25" s="2" t="s">
        <v>28</v>
      </c>
      <c r="F25" s="7">
        <f>C17+G17+K17+O17+R17+U17+X17</f>
        <v>4460190.8</v>
      </c>
      <c r="K25" s="12"/>
      <c r="R25" s="8"/>
    </row>
    <row r="26">
      <c r="K26" s="12"/>
    </row>
    <row r="27">
      <c r="K27" s="12"/>
      <c r="R27" s="7"/>
    </row>
    <row r="28">
      <c r="K28" s="12"/>
    </row>
  </sheetData>
  <hyperlinks>
    <hyperlink r:id="rId1" ref="H1"/>
    <hyperlink r:id="rId2" ref="H2"/>
    <hyperlink r:id="rId3" ref="H3"/>
    <hyperlink r:id="rId4" ref="H4"/>
    <hyperlink r:id="rId5" ref="H5"/>
    <hyperlink r:id="rId6" ref="H6"/>
    <hyperlink r:id="rId7" location="gid=0" ref="H8"/>
    <hyperlink r:id="rId8" location="gid=0" ref="G9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.75"/>
    <col customWidth="1" min="5" max="5" width="9.25"/>
    <col customWidth="1" min="8" max="9" width="2.25"/>
    <col customWidth="1" min="12" max="12" width="2.13"/>
    <col customWidth="1" min="13" max="13" width="2.25"/>
    <col customWidth="1" min="16" max="16" width="2.5"/>
    <col customWidth="1" min="19" max="19" width="2.5"/>
  </cols>
  <sheetData>
    <row r="1">
      <c r="H1" s="1" t="s">
        <v>0</v>
      </c>
    </row>
    <row r="2">
      <c r="H2" s="1" t="s">
        <v>1</v>
      </c>
    </row>
    <row r="3">
      <c r="G3" s="2" t="s">
        <v>2</v>
      </c>
      <c r="H3" s="1" t="s">
        <v>38</v>
      </c>
    </row>
    <row r="4">
      <c r="G4" s="2" t="s">
        <v>4</v>
      </c>
      <c r="H4" s="3" t="s">
        <v>5</v>
      </c>
    </row>
    <row r="5">
      <c r="G5" s="2" t="s">
        <v>6</v>
      </c>
      <c r="H5" s="3" t="s">
        <v>7</v>
      </c>
    </row>
    <row r="6">
      <c r="G6" s="2" t="s">
        <v>8</v>
      </c>
      <c r="H6" s="3" t="s">
        <v>9</v>
      </c>
    </row>
    <row r="8">
      <c r="G8" s="2" t="s">
        <v>10</v>
      </c>
      <c r="H8" s="3" t="s">
        <v>11</v>
      </c>
    </row>
    <row r="9">
      <c r="G9" s="4" t="s">
        <v>39</v>
      </c>
    </row>
    <row r="11">
      <c r="B11" s="2" t="s">
        <v>13</v>
      </c>
      <c r="C11" s="2" t="s">
        <v>14</v>
      </c>
      <c r="F11" s="2" t="s">
        <v>13</v>
      </c>
      <c r="G11" s="2" t="s">
        <v>15</v>
      </c>
      <c r="J11" s="2" t="s">
        <v>13</v>
      </c>
      <c r="K11" s="2" t="s">
        <v>17</v>
      </c>
      <c r="N11" s="2" t="s">
        <v>13</v>
      </c>
      <c r="O11" s="2" t="s">
        <v>18</v>
      </c>
    </row>
    <row r="12">
      <c r="B12" s="2" t="s">
        <v>19</v>
      </c>
      <c r="C12" s="5">
        <v>10300.0</v>
      </c>
      <c r="F12" s="2" t="s">
        <v>19</v>
      </c>
      <c r="G12" s="5">
        <v>10300.0</v>
      </c>
      <c r="J12" s="2" t="s">
        <v>19</v>
      </c>
      <c r="K12" s="5">
        <v>10300.0</v>
      </c>
      <c r="N12" s="2" t="s">
        <v>19</v>
      </c>
      <c r="O12" s="5">
        <v>10300.0</v>
      </c>
    </row>
    <row r="13">
      <c r="B13" s="2" t="s">
        <v>20</v>
      </c>
      <c r="C13" s="6">
        <v>127.5</v>
      </c>
      <c r="F13" s="2" t="s">
        <v>20</v>
      </c>
      <c r="G13" s="6">
        <v>132.5</v>
      </c>
      <c r="J13" s="2" t="s">
        <v>20</v>
      </c>
      <c r="K13" s="6">
        <v>53.0</v>
      </c>
      <c r="N13" s="2" t="s">
        <v>20</v>
      </c>
      <c r="O13" s="6">
        <v>65.0</v>
      </c>
    </row>
    <row r="14">
      <c r="B14" s="2" t="s">
        <v>21</v>
      </c>
      <c r="C14" s="7">
        <f>C12*C13</f>
        <v>1313250</v>
      </c>
      <c r="F14" s="2" t="s">
        <v>21</v>
      </c>
      <c r="G14" s="7">
        <f>G12*G13</f>
        <v>1364750</v>
      </c>
      <c r="J14" s="2" t="s">
        <v>21</v>
      </c>
      <c r="K14" s="7">
        <f>K12*K13</f>
        <v>545900</v>
      </c>
      <c r="N14" s="2" t="s">
        <v>21</v>
      </c>
      <c r="O14" s="7">
        <f>O12*O13</f>
        <v>669500</v>
      </c>
    </row>
    <row r="15">
      <c r="B15" s="2" t="s">
        <v>22</v>
      </c>
      <c r="C15" s="8">
        <f>C14*0.033</f>
        <v>43337.25</v>
      </c>
      <c r="F15" s="2" t="s">
        <v>22</v>
      </c>
      <c r="G15" s="8">
        <f>G14*0.033</f>
        <v>45036.75</v>
      </c>
      <c r="J15" s="2" t="s">
        <v>22</v>
      </c>
      <c r="K15" s="8">
        <f>K14*0.033</f>
        <v>18014.7</v>
      </c>
      <c r="N15" s="2" t="s">
        <v>22</v>
      </c>
      <c r="O15" s="8">
        <f>O14*0.033</f>
        <v>22093.5</v>
      </c>
    </row>
    <row r="17">
      <c r="B17" s="2" t="s">
        <v>23</v>
      </c>
      <c r="C17" s="7">
        <f>C14-C15</f>
        <v>1269912.75</v>
      </c>
      <c r="F17" s="2" t="s">
        <v>23</v>
      </c>
      <c r="G17" s="7">
        <f>G14-G15</f>
        <v>1319713.25</v>
      </c>
      <c r="J17" s="2" t="s">
        <v>23</v>
      </c>
      <c r="K17" s="7">
        <f>K14-K15</f>
        <v>527885.3</v>
      </c>
      <c r="N17" s="2" t="s">
        <v>23</v>
      </c>
      <c r="O17" s="7">
        <f>O14-O15</f>
        <v>647406.5</v>
      </c>
    </row>
    <row r="18">
      <c r="C18" s="9"/>
      <c r="K18" s="10"/>
      <c r="O18" s="10"/>
    </row>
    <row r="19">
      <c r="C19" s="2" t="s">
        <v>40</v>
      </c>
    </row>
    <row r="21">
      <c r="O21" s="7"/>
    </row>
    <row r="22">
      <c r="C22" s="8"/>
      <c r="O22" s="8"/>
      <c r="R22" s="10"/>
    </row>
    <row r="24">
      <c r="C24" s="9"/>
      <c r="E24" s="2" t="s">
        <v>27</v>
      </c>
      <c r="F24" s="7">
        <f>C14+G14+K14+O14</f>
        <v>3893400</v>
      </c>
      <c r="K24" s="12"/>
      <c r="O24" s="7"/>
      <c r="R24" s="7"/>
    </row>
    <row r="25">
      <c r="E25" s="2" t="s">
        <v>28</v>
      </c>
      <c r="F25" s="7">
        <f>C17+G17+K17+O17</f>
        <v>3764917.8</v>
      </c>
      <c r="K25" s="12"/>
      <c r="R25" s="8"/>
    </row>
    <row r="26">
      <c r="K26" s="12"/>
    </row>
    <row r="27">
      <c r="K27" s="12"/>
      <c r="R27" s="7"/>
    </row>
    <row r="28">
      <c r="K28" s="12"/>
    </row>
  </sheetData>
  <hyperlinks>
    <hyperlink r:id="rId1" ref="H1"/>
    <hyperlink r:id="rId2" ref="H2"/>
    <hyperlink r:id="rId3" ref="H3"/>
    <hyperlink r:id="rId4" ref="H4"/>
    <hyperlink r:id="rId5" ref="H5"/>
    <hyperlink r:id="rId6" ref="H6"/>
    <hyperlink r:id="rId7" location="gid=0" ref="H8"/>
    <hyperlink r:id="rId8" location="gid=0" ref="G9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.75"/>
    <col customWidth="1" min="5" max="5" width="9.25"/>
    <col customWidth="1" min="8" max="9" width="2.25"/>
    <col customWidth="1" min="12" max="12" width="2.13"/>
    <col customWidth="1" min="13" max="13" width="2.25"/>
    <col customWidth="1" min="16" max="16" width="2.5"/>
    <col customWidth="1" min="19" max="19" width="2.5"/>
  </cols>
  <sheetData>
    <row r="1">
      <c r="H1" s="1" t="s">
        <v>0</v>
      </c>
    </row>
    <row r="2">
      <c r="H2" s="1" t="s">
        <v>1</v>
      </c>
    </row>
    <row r="3">
      <c r="G3" s="2" t="s">
        <v>2</v>
      </c>
      <c r="H3" s="1" t="s">
        <v>41</v>
      </c>
    </row>
    <row r="4">
      <c r="G4" s="2" t="s">
        <v>4</v>
      </c>
      <c r="H4" s="3" t="s">
        <v>5</v>
      </c>
    </row>
    <row r="5">
      <c r="G5" s="2" t="s">
        <v>6</v>
      </c>
      <c r="H5" s="3" t="s">
        <v>7</v>
      </c>
    </row>
    <row r="6">
      <c r="G6" s="2" t="s">
        <v>8</v>
      </c>
      <c r="H6" s="3" t="s">
        <v>9</v>
      </c>
    </row>
    <row r="8">
      <c r="G8" s="2" t="s">
        <v>10</v>
      </c>
      <c r="H8" s="3" t="s">
        <v>11</v>
      </c>
    </row>
    <row r="9">
      <c r="G9" s="4" t="s">
        <v>42</v>
      </c>
    </row>
    <row r="11">
      <c r="B11" s="2" t="s">
        <v>13</v>
      </c>
      <c r="C11" s="2" t="s">
        <v>14</v>
      </c>
      <c r="F11" s="2" t="s">
        <v>13</v>
      </c>
      <c r="G11" s="2" t="s">
        <v>15</v>
      </c>
      <c r="J11" s="2" t="s">
        <v>13</v>
      </c>
      <c r="K11" s="2" t="s">
        <v>17</v>
      </c>
      <c r="N11" s="2" t="s">
        <v>13</v>
      </c>
      <c r="O11" s="2" t="s">
        <v>18</v>
      </c>
    </row>
    <row r="12">
      <c r="B12" s="2" t="s">
        <v>19</v>
      </c>
      <c r="C12" s="5">
        <v>10300.0</v>
      </c>
      <c r="F12" s="2" t="s">
        <v>19</v>
      </c>
      <c r="G12" s="5">
        <v>10300.0</v>
      </c>
      <c r="J12" s="2" t="s">
        <v>19</v>
      </c>
      <c r="K12" s="5">
        <v>10300.0</v>
      </c>
      <c r="N12" s="2" t="s">
        <v>19</v>
      </c>
      <c r="O12" s="5">
        <v>10300.0</v>
      </c>
    </row>
    <row r="13">
      <c r="B13" s="2" t="s">
        <v>20</v>
      </c>
      <c r="C13" s="6">
        <v>104.0</v>
      </c>
      <c r="F13" s="2" t="s">
        <v>20</v>
      </c>
      <c r="G13" s="6">
        <v>87.5</v>
      </c>
      <c r="J13" s="2" t="s">
        <v>20</v>
      </c>
      <c r="K13" s="6">
        <v>65.5</v>
      </c>
      <c r="N13" s="2" t="s">
        <v>20</v>
      </c>
      <c r="O13" s="6">
        <v>64.5</v>
      </c>
    </row>
    <row r="14">
      <c r="B14" s="2" t="s">
        <v>21</v>
      </c>
      <c r="C14" s="7">
        <f>C12*C13</f>
        <v>1071200</v>
      </c>
      <c r="F14" s="2" t="s">
        <v>21</v>
      </c>
      <c r="G14" s="7">
        <f>G12*G13</f>
        <v>901250</v>
      </c>
      <c r="J14" s="2" t="s">
        <v>21</v>
      </c>
      <c r="K14" s="7">
        <f>K12*K13</f>
        <v>674650</v>
      </c>
      <c r="N14" s="2" t="s">
        <v>21</v>
      </c>
      <c r="O14" s="7">
        <f>O12*O13</f>
        <v>664350</v>
      </c>
    </row>
    <row r="15">
      <c r="B15" s="2" t="s">
        <v>22</v>
      </c>
      <c r="C15" s="8">
        <f>C14*0.033</f>
        <v>35349.6</v>
      </c>
      <c r="F15" s="2" t="s">
        <v>22</v>
      </c>
      <c r="G15" s="8">
        <f>G14*0.033</f>
        <v>29741.25</v>
      </c>
      <c r="J15" s="2" t="s">
        <v>22</v>
      </c>
      <c r="K15" s="8">
        <f>K14*0.033</f>
        <v>22263.45</v>
      </c>
      <c r="N15" s="2" t="s">
        <v>22</v>
      </c>
      <c r="O15" s="8">
        <f>O14*0.033</f>
        <v>21923.55</v>
      </c>
    </row>
    <row r="17">
      <c r="B17" s="2" t="s">
        <v>23</v>
      </c>
      <c r="C17" s="7">
        <f>C14-C15</f>
        <v>1035850.4</v>
      </c>
      <c r="F17" s="2" t="s">
        <v>23</v>
      </c>
      <c r="G17" s="7">
        <f>G14-G15</f>
        <v>871508.75</v>
      </c>
      <c r="J17" s="2" t="s">
        <v>23</v>
      </c>
      <c r="K17" s="7">
        <f>K14-K15</f>
        <v>652386.55</v>
      </c>
      <c r="N17" s="2" t="s">
        <v>23</v>
      </c>
      <c r="O17" s="7">
        <f>O14-O15</f>
        <v>642426.45</v>
      </c>
    </row>
    <row r="18">
      <c r="C18" s="9"/>
      <c r="K18" s="10"/>
      <c r="O18" s="10"/>
    </row>
    <row r="19">
      <c r="C19" s="2" t="s">
        <v>40</v>
      </c>
    </row>
    <row r="21">
      <c r="O21" s="7"/>
    </row>
    <row r="22">
      <c r="C22" s="8"/>
      <c r="O22" s="8"/>
      <c r="R22" s="10"/>
    </row>
    <row r="24">
      <c r="C24" s="9"/>
      <c r="E24" s="2" t="s">
        <v>27</v>
      </c>
      <c r="F24" s="7">
        <f>C14+G14+K14+O14</f>
        <v>3311450</v>
      </c>
      <c r="K24" s="12"/>
      <c r="O24" s="7"/>
      <c r="R24" s="7"/>
    </row>
    <row r="25">
      <c r="E25" s="2" t="s">
        <v>28</v>
      </c>
      <c r="F25" s="7">
        <f>C17+G17+K17+O17</f>
        <v>3202172.15</v>
      </c>
      <c r="K25" s="12"/>
      <c r="R25" s="8"/>
    </row>
    <row r="26">
      <c r="K26" s="12"/>
    </row>
    <row r="27">
      <c r="K27" s="12"/>
      <c r="R27" s="7"/>
    </row>
    <row r="28">
      <c r="K28" s="12"/>
    </row>
  </sheetData>
  <hyperlinks>
    <hyperlink r:id="rId1" ref="H1"/>
    <hyperlink r:id="rId2" ref="H2"/>
    <hyperlink r:id="rId3" ref="H3"/>
    <hyperlink r:id="rId4" ref="H4"/>
    <hyperlink r:id="rId5" ref="H5"/>
    <hyperlink r:id="rId6" ref="H6"/>
    <hyperlink r:id="rId7" location="gid=0" ref="H8"/>
    <hyperlink r:id="rId8" location="gid=0" ref="G9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.75"/>
    <col customWidth="1" min="5" max="5" width="9.25"/>
    <col customWidth="1" min="8" max="9" width="2.25"/>
    <col customWidth="1" min="12" max="12" width="2.13"/>
    <col customWidth="1" min="13" max="13" width="2.25"/>
    <col customWidth="1" min="16" max="16" width="2.5"/>
    <col customWidth="1" min="19" max="19" width="2.5"/>
  </cols>
  <sheetData>
    <row r="1">
      <c r="H1" s="1" t="s">
        <v>0</v>
      </c>
    </row>
    <row r="2">
      <c r="H2" s="1" t="s">
        <v>1</v>
      </c>
    </row>
    <row r="3">
      <c r="G3" s="2" t="s">
        <v>2</v>
      </c>
      <c r="H3" s="1" t="s">
        <v>43</v>
      </c>
    </row>
    <row r="4">
      <c r="G4" s="2" t="s">
        <v>4</v>
      </c>
      <c r="H4" s="3" t="s">
        <v>5</v>
      </c>
    </row>
    <row r="5">
      <c r="G5" s="2" t="s">
        <v>6</v>
      </c>
      <c r="H5" s="3" t="s">
        <v>7</v>
      </c>
    </row>
    <row r="6">
      <c r="G6" s="2" t="s">
        <v>8</v>
      </c>
      <c r="H6" s="3" t="s">
        <v>9</v>
      </c>
    </row>
    <row r="8">
      <c r="G8" s="2" t="s">
        <v>10</v>
      </c>
      <c r="H8" s="3" t="s">
        <v>11</v>
      </c>
    </row>
    <row r="9">
      <c r="G9" s="4" t="s">
        <v>44</v>
      </c>
    </row>
    <row r="11">
      <c r="B11" s="2" t="s">
        <v>13</v>
      </c>
      <c r="C11" s="2" t="s">
        <v>14</v>
      </c>
      <c r="F11" s="2" t="s">
        <v>13</v>
      </c>
      <c r="G11" s="2" t="s">
        <v>15</v>
      </c>
      <c r="J11" s="2" t="s">
        <v>13</v>
      </c>
      <c r="K11" s="2" t="s">
        <v>17</v>
      </c>
      <c r="N11" s="2" t="s">
        <v>13</v>
      </c>
      <c r="O11" s="2" t="s">
        <v>18</v>
      </c>
    </row>
    <row r="12">
      <c r="B12" s="2" t="s">
        <v>19</v>
      </c>
      <c r="C12" s="5">
        <v>10300.0</v>
      </c>
      <c r="F12" s="2" t="s">
        <v>19</v>
      </c>
      <c r="G12" s="5">
        <v>10300.0</v>
      </c>
      <c r="J12" s="2" t="s">
        <v>19</v>
      </c>
      <c r="K12" s="5">
        <v>10300.0</v>
      </c>
      <c r="N12" s="2" t="s">
        <v>19</v>
      </c>
      <c r="O12" s="5">
        <v>10300.0</v>
      </c>
    </row>
    <row r="13">
      <c r="B13" s="2" t="s">
        <v>20</v>
      </c>
      <c r="C13" s="6">
        <v>135.0</v>
      </c>
      <c r="F13" s="2" t="s">
        <v>20</v>
      </c>
      <c r="G13" s="6">
        <v>137.5</v>
      </c>
      <c r="J13" s="2" t="s">
        <v>20</v>
      </c>
      <c r="K13" s="6">
        <v>53.0</v>
      </c>
      <c r="N13" s="2" t="s">
        <v>20</v>
      </c>
      <c r="O13" s="6">
        <v>51.0</v>
      </c>
    </row>
    <row r="14">
      <c r="B14" s="2" t="s">
        <v>21</v>
      </c>
      <c r="C14" s="7">
        <f>C12*C13</f>
        <v>1390500</v>
      </c>
      <c r="F14" s="2" t="s">
        <v>21</v>
      </c>
      <c r="G14" s="7">
        <f>G12*G13</f>
        <v>1416250</v>
      </c>
      <c r="J14" s="2" t="s">
        <v>21</v>
      </c>
      <c r="K14" s="7">
        <f>K12*K13</f>
        <v>545900</v>
      </c>
      <c r="N14" s="2" t="s">
        <v>21</v>
      </c>
      <c r="O14" s="7">
        <f>O12*O13</f>
        <v>525300</v>
      </c>
    </row>
    <row r="15">
      <c r="B15" s="2" t="s">
        <v>22</v>
      </c>
      <c r="C15" s="8">
        <f>C14*0.033</f>
        <v>45886.5</v>
      </c>
      <c r="F15" s="2" t="s">
        <v>22</v>
      </c>
      <c r="G15" s="8">
        <f>G14*0.033</f>
        <v>46736.25</v>
      </c>
      <c r="J15" s="2" t="s">
        <v>22</v>
      </c>
      <c r="K15" s="8">
        <f>K14*0.033</f>
        <v>18014.7</v>
      </c>
      <c r="N15" s="2" t="s">
        <v>22</v>
      </c>
      <c r="O15" s="8">
        <f>O14*0.033</f>
        <v>17334.9</v>
      </c>
    </row>
    <row r="17">
      <c r="B17" s="2" t="s">
        <v>23</v>
      </c>
      <c r="C17" s="7">
        <f>C14-C15</f>
        <v>1344613.5</v>
      </c>
      <c r="F17" s="2" t="s">
        <v>23</v>
      </c>
      <c r="G17" s="7">
        <f>G14-G15</f>
        <v>1369513.75</v>
      </c>
      <c r="J17" s="2" t="s">
        <v>23</v>
      </c>
      <c r="K17" s="7">
        <f>K14-K15</f>
        <v>527885.3</v>
      </c>
      <c r="N17" s="2" t="s">
        <v>23</v>
      </c>
      <c r="O17" s="7">
        <f>O14-O15</f>
        <v>507965.1</v>
      </c>
    </row>
    <row r="18">
      <c r="C18" s="9"/>
      <c r="K18" s="10"/>
      <c r="O18" s="10"/>
    </row>
    <row r="21">
      <c r="O21" s="7"/>
    </row>
    <row r="22">
      <c r="C22" s="8"/>
      <c r="O22" s="8"/>
      <c r="R22" s="10"/>
    </row>
    <row r="24">
      <c r="C24" s="9"/>
      <c r="E24" s="2" t="s">
        <v>27</v>
      </c>
      <c r="F24" s="7">
        <f>C14+G14+K14+O14</f>
        <v>3877950</v>
      </c>
      <c r="K24" s="12"/>
      <c r="O24" s="7"/>
      <c r="R24" s="7"/>
    </row>
    <row r="25">
      <c r="E25" s="2" t="s">
        <v>28</v>
      </c>
      <c r="F25" s="7">
        <f>C17+G17+K17+O17</f>
        <v>3749977.65</v>
      </c>
      <c r="K25" s="12"/>
      <c r="R25" s="8"/>
    </row>
    <row r="26">
      <c r="K26" s="12"/>
    </row>
    <row r="27">
      <c r="K27" s="12"/>
      <c r="R27" s="7"/>
    </row>
    <row r="28">
      <c r="K28" s="12"/>
    </row>
  </sheetData>
  <hyperlinks>
    <hyperlink r:id="rId1" ref="H1"/>
    <hyperlink r:id="rId2" ref="H2"/>
    <hyperlink r:id="rId3" ref="H3"/>
    <hyperlink r:id="rId4" ref="H4"/>
    <hyperlink r:id="rId5" ref="H5"/>
    <hyperlink r:id="rId6" ref="H6"/>
    <hyperlink r:id="rId7" location="gid=0" ref="H8"/>
    <hyperlink r:id="rId8" location="gid=0" ref="G9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.75"/>
    <col customWidth="1" min="5" max="5" width="9.25"/>
    <col customWidth="1" min="8" max="9" width="2.25"/>
    <col customWidth="1" min="12" max="12" width="2.13"/>
    <col customWidth="1" min="13" max="13" width="2.25"/>
    <col customWidth="1" min="16" max="16" width="2.5"/>
    <col customWidth="1" min="19" max="19" width="2.5"/>
  </cols>
  <sheetData>
    <row r="1">
      <c r="H1" s="1" t="s">
        <v>0</v>
      </c>
    </row>
    <row r="2">
      <c r="H2" s="1" t="s">
        <v>1</v>
      </c>
    </row>
    <row r="3">
      <c r="G3" s="2" t="s">
        <v>2</v>
      </c>
      <c r="H3" s="1" t="s">
        <v>45</v>
      </c>
    </row>
    <row r="4">
      <c r="G4" s="2" t="s">
        <v>4</v>
      </c>
      <c r="H4" s="3" t="s">
        <v>5</v>
      </c>
    </row>
    <row r="5">
      <c r="G5" s="2" t="s">
        <v>6</v>
      </c>
      <c r="H5" s="3" t="s">
        <v>7</v>
      </c>
    </row>
    <row r="6">
      <c r="G6" s="2" t="s">
        <v>8</v>
      </c>
      <c r="H6" s="3" t="s">
        <v>9</v>
      </c>
    </row>
    <row r="8">
      <c r="G8" s="2" t="s">
        <v>10</v>
      </c>
      <c r="H8" s="3" t="s">
        <v>11</v>
      </c>
    </row>
    <row r="9">
      <c r="G9" s="4" t="s">
        <v>46</v>
      </c>
    </row>
    <row r="11">
      <c r="B11" s="2" t="s">
        <v>13</v>
      </c>
      <c r="C11" s="2" t="s">
        <v>47</v>
      </c>
      <c r="F11" s="2" t="s">
        <v>13</v>
      </c>
      <c r="G11" s="2" t="s">
        <v>15</v>
      </c>
      <c r="J11" s="2" t="s">
        <v>13</v>
      </c>
      <c r="K11" s="2" t="s">
        <v>17</v>
      </c>
      <c r="N11" s="2" t="s">
        <v>13</v>
      </c>
      <c r="O11" s="2" t="s">
        <v>18</v>
      </c>
      <c r="Q11" s="2" t="s">
        <v>13</v>
      </c>
      <c r="R11" s="2" t="s">
        <v>14</v>
      </c>
    </row>
    <row r="12">
      <c r="B12" s="2" t="s">
        <v>19</v>
      </c>
      <c r="C12" s="5">
        <v>10300.0</v>
      </c>
      <c r="F12" s="2" t="s">
        <v>19</v>
      </c>
      <c r="G12" s="5">
        <v>10300.0</v>
      </c>
      <c r="J12" s="2" t="s">
        <v>19</v>
      </c>
      <c r="K12" s="5">
        <v>10300.0</v>
      </c>
      <c r="N12" s="2" t="s">
        <v>19</v>
      </c>
      <c r="O12" s="5">
        <v>10300.0</v>
      </c>
      <c r="Q12" s="2" t="s">
        <v>19</v>
      </c>
      <c r="R12" s="5">
        <v>10300.0</v>
      </c>
    </row>
    <row r="13">
      <c r="B13" s="2" t="s">
        <v>20</v>
      </c>
      <c r="C13" s="6">
        <v>94.5</v>
      </c>
      <c r="F13" s="2" t="s">
        <v>20</v>
      </c>
      <c r="G13" s="6">
        <v>98.5</v>
      </c>
      <c r="J13" s="2" t="s">
        <v>20</v>
      </c>
      <c r="K13" s="6">
        <v>53.0</v>
      </c>
      <c r="N13" s="2" t="s">
        <v>20</v>
      </c>
      <c r="O13" s="6">
        <v>68.5</v>
      </c>
      <c r="Q13" s="2" t="s">
        <v>20</v>
      </c>
      <c r="R13" s="6">
        <v>16.5</v>
      </c>
    </row>
    <row r="14">
      <c r="B14" s="2" t="s">
        <v>21</v>
      </c>
      <c r="C14" s="7">
        <f>C12*C13</f>
        <v>973350</v>
      </c>
      <c r="F14" s="2" t="s">
        <v>21</v>
      </c>
      <c r="G14" s="7">
        <f>G12*G13</f>
        <v>1014550</v>
      </c>
      <c r="J14" s="2" t="s">
        <v>21</v>
      </c>
      <c r="K14" s="7">
        <f>K12*K13</f>
        <v>545900</v>
      </c>
      <c r="N14" s="2" t="s">
        <v>21</v>
      </c>
      <c r="O14" s="7">
        <f>O12*O13</f>
        <v>705550</v>
      </c>
      <c r="Q14" s="2" t="s">
        <v>21</v>
      </c>
      <c r="R14" s="7">
        <f>R12*R13</f>
        <v>169950</v>
      </c>
    </row>
    <row r="15">
      <c r="B15" s="2" t="s">
        <v>48</v>
      </c>
      <c r="C15" s="8">
        <f>C14*0.033</f>
        <v>32120.55</v>
      </c>
      <c r="F15" s="2" t="s">
        <v>22</v>
      </c>
      <c r="G15" s="8">
        <f>G14*0.033</f>
        <v>33480.15</v>
      </c>
      <c r="J15" s="2" t="s">
        <v>22</v>
      </c>
      <c r="K15" s="8">
        <f>K14*0.033</f>
        <v>18014.7</v>
      </c>
      <c r="N15" s="2" t="s">
        <v>22</v>
      </c>
      <c r="O15" s="8">
        <f>O14*0.033</f>
        <v>23283.15</v>
      </c>
      <c r="Q15" s="2" t="s">
        <v>22</v>
      </c>
      <c r="R15" s="8">
        <f>R14*0.033</f>
        <v>5608.35</v>
      </c>
    </row>
    <row r="17">
      <c r="B17" s="2" t="s">
        <v>23</v>
      </c>
      <c r="C17" s="9">
        <f>C14-C15</f>
        <v>941229.45</v>
      </c>
      <c r="F17" s="2" t="s">
        <v>23</v>
      </c>
      <c r="G17" s="7">
        <f>G14-G15</f>
        <v>981069.85</v>
      </c>
      <c r="J17" s="2" t="s">
        <v>23</v>
      </c>
      <c r="K17" s="7">
        <f>K14-K15</f>
        <v>527885.3</v>
      </c>
      <c r="N17" s="2" t="s">
        <v>23</v>
      </c>
      <c r="O17" s="7">
        <f>O14-O15</f>
        <v>682266.85</v>
      </c>
      <c r="Q17" s="2" t="s">
        <v>23</v>
      </c>
      <c r="R17" s="7">
        <f>R14-R15</f>
        <v>164341.65</v>
      </c>
    </row>
    <row r="18">
      <c r="C18" s="9"/>
      <c r="K18" s="10"/>
      <c r="O18" s="10"/>
    </row>
    <row r="21">
      <c r="B21" s="2" t="s">
        <v>49</v>
      </c>
      <c r="C21" s="2">
        <v>1340917.0</v>
      </c>
      <c r="O21" s="7"/>
    </row>
    <row r="22">
      <c r="B22" s="2" t="s">
        <v>48</v>
      </c>
      <c r="C22" s="8">
        <f>C21*0.033</f>
        <v>44250.261</v>
      </c>
      <c r="O22" s="8"/>
    </row>
    <row r="24">
      <c r="B24" s="2" t="s">
        <v>23</v>
      </c>
      <c r="C24" s="9">
        <f>C21-C22</f>
        <v>1296666.739</v>
      </c>
      <c r="E24" s="2" t="s">
        <v>27</v>
      </c>
      <c r="F24" s="7">
        <f>C14+G14+K14+O14+R14</f>
        <v>3409300</v>
      </c>
      <c r="K24" s="12"/>
      <c r="O24" s="7"/>
    </row>
    <row r="25">
      <c r="E25" s="2" t="s">
        <v>28</v>
      </c>
      <c r="F25" s="9">
        <f>C17+G17+K17+O17+R17</f>
        <v>3296793.1</v>
      </c>
      <c r="K25" s="12"/>
    </row>
    <row r="26">
      <c r="K26" s="12"/>
    </row>
    <row r="27">
      <c r="K27" s="12"/>
    </row>
    <row r="28">
      <c r="K28" s="12"/>
    </row>
  </sheetData>
  <hyperlinks>
    <hyperlink r:id="rId1" ref="H1"/>
    <hyperlink r:id="rId2" ref="H2"/>
    <hyperlink r:id="rId3" ref="H3"/>
    <hyperlink r:id="rId4" ref="H4"/>
    <hyperlink r:id="rId5" ref="H5"/>
    <hyperlink r:id="rId6" ref="H6"/>
    <hyperlink r:id="rId7" location="gid=0" ref="H8"/>
    <hyperlink r:id="rId8" location="gid=0" ref="G9"/>
  </hyperlinks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.75"/>
    <col customWidth="1" min="5" max="5" width="9.25"/>
    <col customWidth="1" min="8" max="9" width="2.25"/>
    <col customWidth="1" min="12" max="12" width="2.13"/>
    <col customWidth="1" min="13" max="13" width="2.25"/>
    <col customWidth="1" min="16" max="16" width="2.5"/>
    <col customWidth="1" min="19" max="19" width="2.5"/>
  </cols>
  <sheetData>
    <row r="1">
      <c r="H1" s="1" t="s">
        <v>0</v>
      </c>
    </row>
    <row r="2">
      <c r="H2" s="1" t="s">
        <v>1</v>
      </c>
    </row>
    <row r="3">
      <c r="G3" s="2" t="s">
        <v>2</v>
      </c>
      <c r="H3" s="1" t="s">
        <v>50</v>
      </c>
    </row>
    <row r="4">
      <c r="G4" s="2" t="s">
        <v>4</v>
      </c>
      <c r="H4" s="3" t="s">
        <v>5</v>
      </c>
    </row>
    <row r="5">
      <c r="G5" s="2" t="s">
        <v>6</v>
      </c>
      <c r="H5" s="3" t="s">
        <v>7</v>
      </c>
    </row>
    <row r="6">
      <c r="G6" s="2" t="s">
        <v>8</v>
      </c>
      <c r="H6" s="3" t="s">
        <v>9</v>
      </c>
    </row>
    <row r="8">
      <c r="G8" s="2" t="s">
        <v>10</v>
      </c>
      <c r="H8" s="3" t="s">
        <v>11</v>
      </c>
    </row>
    <row r="9">
      <c r="G9" s="4" t="s">
        <v>51</v>
      </c>
    </row>
    <row r="11">
      <c r="B11" s="2" t="s">
        <v>13</v>
      </c>
      <c r="C11" s="2" t="s">
        <v>47</v>
      </c>
      <c r="F11" s="2" t="s">
        <v>13</v>
      </c>
      <c r="G11" s="2" t="s">
        <v>15</v>
      </c>
      <c r="J11" s="2" t="s">
        <v>13</v>
      </c>
      <c r="K11" s="2" t="s">
        <v>17</v>
      </c>
      <c r="N11" s="2" t="s">
        <v>13</v>
      </c>
      <c r="O11" s="2" t="s">
        <v>52</v>
      </c>
      <c r="Q11" s="2" t="s">
        <v>13</v>
      </c>
      <c r="R11" s="2" t="s">
        <v>18</v>
      </c>
      <c r="T11" s="2" t="s">
        <v>13</v>
      </c>
      <c r="U11" s="2" t="s">
        <v>53</v>
      </c>
    </row>
    <row r="12">
      <c r="B12" s="2" t="s">
        <v>19</v>
      </c>
      <c r="C12" s="5">
        <v>10300.0</v>
      </c>
      <c r="F12" s="2" t="s">
        <v>19</v>
      </c>
      <c r="G12" s="5">
        <v>10300.0</v>
      </c>
      <c r="J12" s="2" t="s">
        <v>19</v>
      </c>
      <c r="K12" s="5">
        <v>10300.0</v>
      </c>
      <c r="N12" s="2" t="s">
        <v>19</v>
      </c>
      <c r="O12" s="5">
        <v>10300.0</v>
      </c>
      <c r="Q12" s="2" t="s">
        <v>19</v>
      </c>
      <c r="R12" s="5">
        <v>10300.0</v>
      </c>
      <c r="T12" s="2" t="s">
        <v>19</v>
      </c>
      <c r="U12" s="5">
        <v>10300.0</v>
      </c>
    </row>
    <row r="13">
      <c r="B13" s="2" t="s">
        <v>20</v>
      </c>
      <c r="C13" s="6">
        <v>120.0</v>
      </c>
      <c r="F13" s="2" t="s">
        <v>20</v>
      </c>
      <c r="G13" s="6">
        <v>131.5</v>
      </c>
      <c r="J13" s="2" t="s">
        <v>20</v>
      </c>
      <c r="K13" s="6">
        <v>65.6</v>
      </c>
      <c r="N13" s="2" t="s">
        <v>20</v>
      </c>
      <c r="O13" s="6">
        <v>71.0</v>
      </c>
      <c r="Q13" s="2" t="s">
        <v>20</v>
      </c>
      <c r="R13" s="6">
        <v>6.0</v>
      </c>
      <c r="T13" s="2" t="s">
        <v>20</v>
      </c>
      <c r="U13" s="6">
        <v>12.5</v>
      </c>
    </row>
    <row r="14">
      <c r="B14" s="2" t="s">
        <v>21</v>
      </c>
      <c r="C14" s="7">
        <f>C12*C13</f>
        <v>1236000</v>
      </c>
      <c r="F14" s="2" t="s">
        <v>21</v>
      </c>
      <c r="G14" s="7">
        <f>G12*G13</f>
        <v>1354450</v>
      </c>
      <c r="J14" s="2" t="s">
        <v>21</v>
      </c>
      <c r="K14" s="7">
        <f>K12*K13</f>
        <v>675680</v>
      </c>
      <c r="N14" s="2" t="s">
        <v>21</v>
      </c>
      <c r="O14" s="7">
        <f>O12*O13</f>
        <v>731300</v>
      </c>
      <c r="Q14" s="2" t="s">
        <v>21</v>
      </c>
      <c r="R14" s="7">
        <f>R12*R13</f>
        <v>61800</v>
      </c>
      <c r="T14" s="2" t="s">
        <v>21</v>
      </c>
      <c r="U14" s="7">
        <f>U12*U13</f>
        <v>128750</v>
      </c>
    </row>
    <row r="15">
      <c r="B15" s="2" t="s">
        <v>48</v>
      </c>
      <c r="C15" s="8">
        <f>C14*0.033</f>
        <v>40788</v>
      </c>
      <c r="F15" s="2" t="s">
        <v>22</v>
      </c>
      <c r="G15" s="8">
        <f>G14*0.033</f>
        <v>44696.85</v>
      </c>
      <c r="J15" s="2" t="s">
        <v>22</v>
      </c>
      <c r="K15" s="8">
        <f>K14*0.033</f>
        <v>22297.44</v>
      </c>
      <c r="N15" s="2" t="s">
        <v>22</v>
      </c>
      <c r="O15" s="8">
        <f>O14*0.033</f>
        <v>24132.9</v>
      </c>
      <c r="Q15" s="2" t="s">
        <v>22</v>
      </c>
      <c r="R15" s="8">
        <f>R14*0.033</f>
        <v>2039.4</v>
      </c>
      <c r="T15" s="2" t="s">
        <v>22</v>
      </c>
      <c r="U15" s="8">
        <f>U14*0.033</f>
        <v>4248.75</v>
      </c>
    </row>
    <row r="17">
      <c r="B17" s="2" t="s">
        <v>23</v>
      </c>
      <c r="C17" s="9">
        <f>C14-C15</f>
        <v>1195212</v>
      </c>
      <c r="F17" s="2" t="s">
        <v>23</v>
      </c>
      <c r="G17" s="7">
        <f>G14-G15</f>
        <v>1309753.15</v>
      </c>
      <c r="J17" s="2" t="s">
        <v>23</v>
      </c>
      <c r="K17" s="7">
        <f>K14-K15</f>
        <v>653382.56</v>
      </c>
      <c r="N17" s="2" t="s">
        <v>23</v>
      </c>
      <c r="O17" s="7">
        <f>O14-O15</f>
        <v>707167.1</v>
      </c>
      <c r="Q17" s="2" t="s">
        <v>23</v>
      </c>
      <c r="R17" s="7">
        <f>R14-R15</f>
        <v>59760.6</v>
      </c>
      <c r="T17" s="2" t="s">
        <v>23</v>
      </c>
      <c r="U17" s="7">
        <f>U14-U15</f>
        <v>124501.25</v>
      </c>
    </row>
    <row r="18">
      <c r="C18" s="9"/>
      <c r="K18" s="10"/>
      <c r="O18" s="10"/>
    </row>
    <row r="21">
      <c r="O21" s="7"/>
    </row>
    <row r="22">
      <c r="O22" s="8"/>
    </row>
    <row r="24">
      <c r="E24" s="2" t="s">
        <v>27</v>
      </c>
      <c r="F24" s="7">
        <f>C14+G14+K14+O14+R14+U14</f>
        <v>4187980</v>
      </c>
      <c r="K24" s="12"/>
      <c r="O24" s="7"/>
    </row>
    <row r="25">
      <c r="E25" s="2" t="s">
        <v>28</v>
      </c>
      <c r="F25" s="9">
        <f>C17+G17+K17+O17+R17+U17</f>
        <v>4049776.66</v>
      </c>
      <c r="K25" s="12"/>
    </row>
    <row r="26">
      <c r="K26" s="12"/>
    </row>
    <row r="27">
      <c r="K27" s="12"/>
    </row>
    <row r="28">
      <c r="K28" s="12"/>
    </row>
  </sheetData>
  <hyperlinks>
    <hyperlink r:id="rId1" ref="H1"/>
    <hyperlink r:id="rId2" ref="H2"/>
    <hyperlink r:id="rId3" ref="H3"/>
    <hyperlink r:id="rId4" ref="H4"/>
    <hyperlink r:id="rId5" ref="H5"/>
    <hyperlink r:id="rId6" ref="H6"/>
    <hyperlink r:id="rId7" location="gid=0" ref="H8"/>
    <hyperlink r:id="rId8" location="gid=0" ref="G9"/>
  </hyperlinks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.75"/>
    <col customWidth="1" min="5" max="5" width="9.25"/>
    <col customWidth="1" min="8" max="9" width="2.25"/>
    <col customWidth="1" min="12" max="12" width="2.13"/>
    <col customWidth="1" min="13" max="13" width="2.25"/>
  </cols>
  <sheetData>
    <row r="1">
      <c r="H1" s="1" t="s">
        <v>0</v>
      </c>
    </row>
    <row r="2">
      <c r="H2" s="1" t="s">
        <v>1</v>
      </c>
    </row>
    <row r="3">
      <c r="G3" s="2" t="s">
        <v>2</v>
      </c>
      <c r="H3" s="1" t="s">
        <v>54</v>
      </c>
    </row>
    <row r="4">
      <c r="G4" s="2" t="s">
        <v>4</v>
      </c>
      <c r="H4" s="3" t="s">
        <v>5</v>
      </c>
    </row>
    <row r="5">
      <c r="G5" s="2" t="s">
        <v>6</v>
      </c>
      <c r="H5" s="3" t="s">
        <v>7</v>
      </c>
    </row>
    <row r="6">
      <c r="G6" s="2" t="s">
        <v>8</v>
      </c>
      <c r="H6" s="3" t="s">
        <v>9</v>
      </c>
    </row>
    <row r="8">
      <c r="G8" s="2" t="s">
        <v>10</v>
      </c>
      <c r="H8" s="3" t="s">
        <v>11</v>
      </c>
    </row>
    <row r="9">
      <c r="G9" s="4" t="s">
        <v>55</v>
      </c>
    </row>
    <row r="11">
      <c r="B11" s="2" t="s">
        <v>13</v>
      </c>
      <c r="C11" s="2" t="s">
        <v>47</v>
      </c>
      <c r="F11" s="2" t="s">
        <v>13</v>
      </c>
      <c r="G11" s="2" t="s">
        <v>15</v>
      </c>
      <c r="J11" s="2" t="s">
        <v>13</v>
      </c>
      <c r="K11" s="2" t="s">
        <v>56</v>
      </c>
      <c r="N11" s="2" t="s">
        <v>13</v>
      </c>
      <c r="O11" s="2" t="s">
        <v>17</v>
      </c>
      <c r="Q11" s="2" t="s">
        <v>13</v>
      </c>
      <c r="R11" s="2" t="s">
        <v>52</v>
      </c>
      <c r="T11" s="2" t="s">
        <v>13</v>
      </c>
      <c r="U11" s="2" t="s">
        <v>53</v>
      </c>
    </row>
    <row r="12">
      <c r="B12" s="2" t="s">
        <v>19</v>
      </c>
      <c r="C12" s="5">
        <v>10300.0</v>
      </c>
      <c r="F12" s="2" t="s">
        <v>19</v>
      </c>
      <c r="G12" s="5">
        <v>10300.0</v>
      </c>
      <c r="J12" s="2" t="s">
        <v>19</v>
      </c>
      <c r="K12" s="5">
        <v>10300.0</v>
      </c>
      <c r="N12" s="2" t="s">
        <v>19</v>
      </c>
      <c r="O12" s="5">
        <v>10300.0</v>
      </c>
      <c r="Q12" s="2" t="s">
        <v>19</v>
      </c>
      <c r="R12" s="5">
        <v>10300.0</v>
      </c>
      <c r="T12" s="2" t="s">
        <v>19</v>
      </c>
      <c r="U12" s="5">
        <v>10300.0</v>
      </c>
    </row>
    <row r="13">
      <c r="B13" s="2" t="s">
        <v>20</v>
      </c>
      <c r="C13" s="6">
        <v>149.5</v>
      </c>
      <c r="F13" s="2" t="s">
        <v>20</v>
      </c>
      <c r="G13" s="6">
        <v>133.5</v>
      </c>
      <c r="J13" s="2" t="s">
        <v>20</v>
      </c>
      <c r="K13" s="6">
        <v>50.0</v>
      </c>
      <c r="N13" s="2" t="s">
        <v>20</v>
      </c>
      <c r="O13" s="6">
        <v>65.5</v>
      </c>
      <c r="Q13" s="2" t="s">
        <v>20</v>
      </c>
      <c r="R13" s="6">
        <v>13.0</v>
      </c>
      <c r="T13" s="2" t="s">
        <v>20</v>
      </c>
      <c r="U13" s="6">
        <v>6.0</v>
      </c>
    </row>
    <row r="14">
      <c r="B14" s="2" t="s">
        <v>21</v>
      </c>
      <c r="C14" s="7">
        <f>C12*C13</f>
        <v>1539850</v>
      </c>
      <c r="F14" s="2" t="s">
        <v>21</v>
      </c>
      <c r="G14" s="7">
        <f>G12*G13</f>
        <v>1375050</v>
      </c>
      <c r="J14" s="2" t="s">
        <v>21</v>
      </c>
      <c r="K14" s="7">
        <f>K12*K13</f>
        <v>515000</v>
      </c>
      <c r="N14" s="2" t="s">
        <v>21</v>
      </c>
      <c r="O14" s="7">
        <f>O12*O13</f>
        <v>674650</v>
      </c>
      <c r="Q14" s="2" t="s">
        <v>21</v>
      </c>
      <c r="R14" s="7">
        <f>R12*R13</f>
        <v>133900</v>
      </c>
      <c r="T14" s="2" t="s">
        <v>21</v>
      </c>
      <c r="U14" s="7">
        <f>U12*U13</f>
        <v>61800</v>
      </c>
    </row>
    <row r="15">
      <c r="B15" s="2" t="s">
        <v>48</v>
      </c>
      <c r="C15" s="8">
        <f>C14*0.033</f>
        <v>50815.05</v>
      </c>
      <c r="F15" s="2" t="s">
        <v>22</v>
      </c>
      <c r="G15" s="8">
        <f>G14*0.033</f>
        <v>45376.65</v>
      </c>
      <c r="J15" s="2" t="s">
        <v>22</v>
      </c>
      <c r="K15" s="8">
        <f>K14*0.033</f>
        <v>16995</v>
      </c>
      <c r="N15" s="2" t="s">
        <v>22</v>
      </c>
      <c r="O15" s="8">
        <f>O14*0.033</f>
        <v>22263.45</v>
      </c>
      <c r="Q15" s="2" t="s">
        <v>22</v>
      </c>
      <c r="R15" s="8">
        <f>R14*0.033</f>
        <v>4418.7</v>
      </c>
      <c r="T15" s="2" t="s">
        <v>22</v>
      </c>
      <c r="U15" s="8">
        <f>U14*0.033</f>
        <v>2039.4</v>
      </c>
    </row>
    <row r="17">
      <c r="B17" s="2" t="s">
        <v>23</v>
      </c>
      <c r="C17" s="9">
        <f>C14-C15</f>
        <v>1489034.95</v>
      </c>
      <c r="F17" s="2" t="s">
        <v>23</v>
      </c>
      <c r="G17" s="7">
        <f>G14-G15</f>
        <v>1329673.35</v>
      </c>
      <c r="J17" s="2" t="s">
        <v>23</v>
      </c>
      <c r="K17" s="7">
        <f>K14-K15</f>
        <v>498005</v>
      </c>
      <c r="N17" s="2" t="s">
        <v>23</v>
      </c>
      <c r="O17" s="7">
        <f>O14-O15</f>
        <v>652386.55</v>
      </c>
      <c r="Q17" s="2" t="s">
        <v>23</v>
      </c>
      <c r="R17" s="7">
        <f>R14-R15</f>
        <v>129481.3</v>
      </c>
      <c r="T17" s="2" t="s">
        <v>23</v>
      </c>
      <c r="U17" s="7">
        <f>U14-U15</f>
        <v>59760.6</v>
      </c>
    </row>
    <row r="18">
      <c r="C18" s="9"/>
      <c r="K18" s="10"/>
      <c r="O18" s="10"/>
    </row>
    <row r="21">
      <c r="N21" s="2" t="s">
        <v>21</v>
      </c>
      <c r="O21" s="7">
        <v>551050.0</v>
      </c>
    </row>
    <row r="22">
      <c r="N22" s="2" t="s">
        <v>22</v>
      </c>
      <c r="O22" s="8">
        <v>18184.65</v>
      </c>
    </row>
    <row r="24">
      <c r="E24" s="2" t="s">
        <v>27</v>
      </c>
      <c r="F24" s="7">
        <f>C14+G14+K14+O14+R14+U14</f>
        <v>4300250</v>
      </c>
      <c r="K24" s="12">
        <v>901389.05</v>
      </c>
      <c r="N24" s="2" t="s">
        <v>23</v>
      </c>
      <c r="O24" s="7">
        <v>532865.35</v>
      </c>
    </row>
    <row r="25">
      <c r="E25" s="2" t="s">
        <v>28</v>
      </c>
      <c r="F25" s="9">
        <f>C17+G17+K17+O17+R17+U17</f>
        <v>4158341.75</v>
      </c>
      <c r="K25" s="12">
        <v>1259952.65</v>
      </c>
    </row>
    <row r="26">
      <c r="K26" s="12">
        <v>258962.6</v>
      </c>
    </row>
    <row r="27">
      <c r="K27" s="12">
        <v>781867.85</v>
      </c>
    </row>
    <row r="28">
      <c r="K28" s="12">
        <v>179281.8</v>
      </c>
    </row>
    <row r="29">
      <c r="K29" s="12">
        <f>SUM(K24:K28)</f>
        <v>3381453.95</v>
      </c>
    </row>
  </sheetData>
  <hyperlinks>
    <hyperlink r:id="rId1" ref="H1"/>
    <hyperlink r:id="rId2" ref="H2"/>
    <hyperlink r:id="rId3" ref="H3"/>
    <hyperlink r:id="rId4" ref="H4"/>
    <hyperlink r:id="rId5" ref="H5"/>
    <hyperlink r:id="rId6" ref="H6"/>
    <hyperlink r:id="rId7" location="gid=0" ref="H8"/>
    <hyperlink r:id="rId8" location="gid=0" ref="G9"/>
  </hyperlinks>
  <drawing r:id="rId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.75"/>
    <col customWidth="1" min="5" max="5" width="9.25"/>
    <col customWidth="1" min="8" max="9" width="2.25"/>
    <col customWidth="1" min="12" max="12" width="2.13"/>
    <col customWidth="1" min="13" max="13" width="2.25"/>
  </cols>
  <sheetData>
    <row r="1">
      <c r="H1" s="1" t="s">
        <v>0</v>
      </c>
    </row>
    <row r="2">
      <c r="H2" s="1" t="s">
        <v>1</v>
      </c>
    </row>
    <row r="3">
      <c r="G3" s="2" t="s">
        <v>2</v>
      </c>
      <c r="H3" s="1" t="s">
        <v>57</v>
      </c>
    </row>
    <row r="4">
      <c r="G4" s="2" t="s">
        <v>4</v>
      </c>
      <c r="H4" s="3" t="s">
        <v>5</v>
      </c>
    </row>
    <row r="5">
      <c r="G5" s="2" t="s">
        <v>6</v>
      </c>
      <c r="H5" s="3" t="s">
        <v>7</v>
      </c>
    </row>
    <row r="6">
      <c r="G6" s="2" t="s">
        <v>8</v>
      </c>
      <c r="H6" s="3" t="s">
        <v>9</v>
      </c>
    </row>
    <row r="8">
      <c r="G8" s="2" t="s">
        <v>10</v>
      </c>
      <c r="H8" s="3" t="s">
        <v>11</v>
      </c>
    </row>
    <row r="9">
      <c r="G9" s="4" t="s">
        <v>58</v>
      </c>
    </row>
    <row r="11">
      <c r="B11" s="2" t="s">
        <v>13</v>
      </c>
      <c r="C11" s="2" t="s">
        <v>47</v>
      </c>
      <c r="F11" s="2" t="s">
        <v>13</v>
      </c>
      <c r="G11" s="2" t="s">
        <v>15</v>
      </c>
      <c r="J11" s="2" t="s">
        <v>13</v>
      </c>
      <c r="K11" s="2" t="s">
        <v>56</v>
      </c>
      <c r="N11" s="2" t="s">
        <v>13</v>
      </c>
      <c r="O11" s="2" t="s">
        <v>59</v>
      </c>
    </row>
    <row r="12">
      <c r="B12" s="2" t="s">
        <v>19</v>
      </c>
      <c r="C12" s="5">
        <v>10300.0</v>
      </c>
      <c r="F12" s="2" t="s">
        <v>19</v>
      </c>
      <c r="G12" s="5">
        <v>10300.0</v>
      </c>
      <c r="J12" s="2" t="s">
        <v>19</v>
      </c>
      <c r="K12" s="5">
        <v>10300.0</v>
      </c>
      <c r="N12" s="2" t="s">
        <v>19</v>
      </c>
      <c r="O12" s="5">
        <v>10300.0</v>
      </c>
    </row>
    <row r="13">
      <c r="B13" s="2" t="s">
        <v>20</v>
      </c>
      <c r="C13" s="6">
        <v>125.5</v>
      </c>
      <c r="F13" s="2" t="s">
        <v>20</v>
      </c>
      <c r="G13" s="6">
        <v>137.5</v>
      </c>
      <c r="J13" s="2" t="s">
        <v>20</v>
      </c>
      <c r="K13" s="6">
        <v>81.5</v>
      </c>
      <c r="N13" s="2" t="s">
        <v>20</v>
      </c>
      <c r="O13" s="6">
        <v>35.0</v>
      </c>
    </row>
    <row r="14">
      <c r="B14" s="2" t="s">
        <v>21</v>
      </c>
      <c r="C14" s="7">
        <f>C12*C13</f>
        <v>1292650</v>
      </c>
      <c r="F14" s="2" t="s">
        <v>21</v>
      </c>
      <c r="G14" s="7">
        <f>G12*G13</f>
        <v>1416250</v>
      </c>
      <c r="J14" s="2" t="s">
        <v>21</v>
      </c>
      <c r="K14" s="7">
        <f>K12*K13</f>
        <v>839450</v>
      </c>
      <c r="N14" s="2" t="s">
        <v>21</v>
      </c>
      <c r="O14" s="7">
        <f>O12*O13</f>
        <v>360500</v>
      </c>
    </row>
    <row r="15">
      <c r="B15" s="2" t="s">
        <v>48</v>
      </c>
      <c r="C15" s="8">
        <f>C14*0.033</f>
        <v>42657.45</v>
      </c>
      <c r="F15" s="2" t="s">
        <v>22</v>
      </c>
      <c r="G15" s="8">
        <f>G14*0.033</f>
        <v>46736.25</v>
      </c>
      <c r="J15" s="2" t="s">
        <v>22</v>
      </c>
      <c r="K15" s="8">
        <f>K14*0.033</f>
        <v>27701.85</v>
      </c>
      <c r="N15" s="2" t="s">
        <v>22</v>
      </c>
      <c r="O15" s="8">
        <f>O14*0.033</f>
        <v>11896.5</v>
      </c>
    </row>
    <row r="17">
      <c r="B17" s="2" t="s">
        <v>23</v>
      </c>
      <c r="C17" s="9">
        <f>C14-C15</f>
        <v>1249992.55</v>
      </c>
      <c r="F17" s="2" t="s">
        <v>23</v>
      </c>
      <c r="G17" s="7">
        <f>G14-G15</f>
        <v>1369513.75</v>
      </c>
      <c r="J17" s="2" t="s">
        <v>23</v>
      </c>
      <c r="K17" s="7">
        <f>K14-K15</f>
        <v>811748.15</v>
      </c>
      <c r="N17" s="2" t="s">
        <v>23</v>
      </c>
      <c r="O17" s="7">
        <f>O14-O15</f>
        <v>348603.5</v>
      </c>
    </row>
    <row r="18">
      <c r="C18" s="9">
        <v>901389.05</v>
      </c>
      <c r="K18" s="10"/>
      <c r="O18" s="10"/>
    </row>
    <row r="19">
      <c r="C19" s="9">
        <f>C17-C18</f>
        <v>348603.5</v>
      </c>
    </row>
    <row r="24">
      <c r="E24" s="2" t="s">
        <v>27</v>
      </c>
      <c r="F24" s="7">
        <f>C14+G14+K14+O14</f>
        <v>3908850</v>
      </c>
      <c r="K24" s="12">
        <v>901389.05</v>
      </c>
    </row>
    <row r="25">
      <c r="E25" s="2" t="s">
        <v>28</v>
      </c>
      <c r="F25" s="9">
        <f>C17+G17+K17+O17</f>
        <v>3779857.95</v>
      </c>
      <c r="K25" s="12">
        <v>1259952.65</v>
      </c>
    </row>
    <row r="26">
      <c r="K26" s="12">
        <v>258962.6</v>
      </c>
    </row>
    <row r="27">
      <c r="K27" s="12">
        <v>781867.85</v>
      </c>
    </row>
    <row r="28">
      <c r="K28" s="12">
        <v>179281.8</v>
      </c>
    </row>
    <row r="29">
      <c r="K29" s="12">
        <f>SUM(K24:K28)</f>
        <v>3381453.95</v>
      </c>
    </row>
  </sheetData>
  <hyperlinks>
    <hyperlink r:id="rId1" ref="H1"/>
    <hyperlink r:id="rId2" ref="H2"/>
    <hyperlink r:id="rId3" ref="H3"/>
    <hyperlink r:id="rId4" ref="H4"/>
    <hyperlink r:id="rId5" ref="H5"/>
    <hyperlink r:id="rId6" ref="H6"/>
    <hyperlink r:id="rId7" location="gid=0" ref="H8"/>
    <hyperlink r:id="rId8" location="gid=0" ref="G9"/>
  </hyperlinks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.75"/>
    <col customWidth="1" min="5" max="5" width="9.25"/>
    <col customWidth="1" min="8" max="9" width="2.25"/>
    <col customWidth="1" min="12" max="12" width="2.13"/>
    <col customWidth="1" min="13" max="13" width="2.25"/>
  </cols>
  <sheetData>
    <row r="1">
      <c r="H1" s="1" t="s">
        <v>0</v>
      </c>
    </row>
    <row r="2">
      <c r="H2" s="1" t="s">
        <v>1</v>
      </c>
    </row>
    <row r="3">
      <c r="G3" s="2" t="s">
        <v>2</v>
      </c>
      <c r="H3" s="1" t="s">
        <v>60</v>
      </c>
    </row>
    <row r="4">
      <c r="G4" s="2" t="s">
        <v>4</v>
      </c>
      <c r="H4" s="3" t="s">
        <v>5</v>
      </c>
    </row>
    <row r="5">
      <c r="G5" s="2" t="s">
        <v>6</v>
      </c>
      <c r="H5" s="3" t="s">
        <v>7</v>
      </c>
    </row>
    <row r="6">
      <c r="G6" s="2" t="s">
        <v>8</v>
      </c>
      <c r="H6" s="3" t="s">
        <v>9</v>
      </c>
    </row>
    <row r="8">
      <c r="G8" s="2" t="s">
        <v>10</v>
      </c>
      <c r="H8" s="3" t="s">
        <v>11</v>
      </c>
    </row>
    <row r="9">
      <c r="G9" s="4" t="s">
        <v>61</v>
      </c>
    </row>
    <row r="11">
      <c r="B11" s="2" t="s">
        <v>13</v>
      </c>
      <c r="C11" s="2" t="s">
        <v>47</v>
      </c>
      <c r="F11" s="2" t="s">
        <v>13</v>
      </c>
      <c r="G11" s="2" t="s">
        <v>15</v>
      </c>
      <c r="J11" s="2" t="s">
        <v>13</v>
      </c>
      <c r="K11" s="2" t="s">
        <v>32</v>
      </c>
      <c r="N11" s="2" t="s">
        <v>13</v>
      </c>
      <c r="O11" s="2" t="s">
        <v>56</v>
      </c>
      <c r="Q11" s="2" t="s">
        <v>13</v>
      </c>
      <c r="R11" s="2" t="s">
        <v>59</v>
      </c>
    </row>
    <row r="12">
      <c r="B12" s="2" t="s">
        <v>19</v>
      </c>
      <c r="C12" s="5">
        <v>10300.0</v>
      </c>
      <c r="F12" s="2" t="s">
        <v>19</v>
      </c>
      <c r="G12" s="5">
        <v>10300.0</v>
      </c>
      <c r="J12" s="2" t="s">
        <v>19</v>
      </c>
      <c r="K12" s="5">
        <v>10300.0</v>
      </c>
      <c r="N12" s="2" t="s">
        <v>19</v>
      </c>
      <c r="O12" s="5">
        <v>10300.0</v>
      </c>
      <c r="Q12" s="2" t="s">
        <v>19</v>
      </c>
      <c r="R12" s="5">
        <v>10300.0</v>
      </c>
    </row>
    <row r="13">
      <c r="B13" s="2" t="s">
        <v>20</v>
      </c>
      <c r="C13" s="6">
        <v>90.5</v>
      </c>
      <c r="F13" s="2" t="s">
        <v>20</v>
      </c>
      <c r="G13" s="6">
        <v>126.5</v>
      </c>
      <c r="J13" s="2" t="s">
        <v>20</v>
      </c>
      <c r="K13" s="6">
        <v>26.0</v>
      </c>
      <c r="N13" s="2" t="s">
        <v>20</v>
      </c>
      <c r="O13" s="6">
        <v>78.5</v>
      </c>
      <c r="Q13" s="2" t="s">
        <v>20</v>
      </c>
      <c r="R13" s="6">
        <v>18.0</v>
      </c>
    </row>
    <row r="14">
      <c r="B14" s="2" t="s">
        <v>21</v>
      </c>
      <c r="C14" s="9">
        <f>C12*C13</f>
        <v>932150</v>
      </c>
      <c r="F14" s="2" t="s">
        <v>21</v>
      </c>
      <c r="G14" s="9">
        <f>G12*G13</f>
        <v>1302950</v>
      </c>
      <c r="J14" s="2" t="s">
        <v>21</v>
      </c>
      <c r="K14" s="9">
        <f>K12*K13</f>
        <v>267800</v>
      </c>
      <c r="N14" s="2" t="s">
        <v>21</v>
      </c>
      <c r="O14" s="9">
        <f>O12*O13</f>
        <v>808550</v>
      </c>
      <c r="Q14" s="2" t="s">
        <v>21</v>
      </c>
      <c r="R14" s="9">
        <f>R12*R13</f>
        <v>185400</v>
      </c>
    </row>
    <row r="15">
      <c r="B15" s="2" t="s">
        <v>48</v>
      </c>
      <c r="C15" s="9">
        <f>C14*0.033</f>
        <v>30760.95</v>
      </c>
      <c r="F15" s="2" t="s">
        <v>22</v>
      </c>
      <c r="G15" s="9">
        <f>G14*0.033</f>
        <v>42997.35</v>
      </c>
      <c r="J15" s="2" t="s">
        <v>22</v>
      </c>
      <c r="K15" s="9">
        <f>K14*0.033</f>
        <v>8837.4</v>
      </c>
      <c r="N15" s="2" t="s">
        <v>22</v>
      </c>
      <c r="O15" s="9">
        <f>O14*0.033</f>
        <v>26682.15</v>
      </c>
      <c r="Q15" s="2" t="s">
        <v>22</v>
      </c>
      <c r="R15" s="9">
        <f>R14*0.033</f>
        <v>6118.2</v>
      </c>
    </row>
    <row r="17">
      <c r="B17" s="2" t="s">
        <v>23</v>
      </c>
      <c r="C17" s="9">
        <v>901389.05</v>
      </c>
      <c r="F17" s="2" t="s">
        <v>23</v>
      </c>
      <c r="G17" s="9">
        <f>G14-G15</f>
        <v>1259952.65</v>
      </c>
      <c r="J17" s="2" t="s">
        <v>23</v>
      </c>
      <c r="K17" s="9">
        <f>K14-K15</f>
        <v>258962.6</v>
      </c>
      <c r="N17" s="2" t="s">
        <v>23</v>
      </c>
      <c r="O17" s="9">
        <f>O14-O15</f>
        <v>781867.85</v>
      </c>
      <c r="Q17" s="2" t="s">
        <v>23</v>
      </c>
      <c r="R17" s="9">
        <f>R14-R15</f>
        <v>179281.8</v>
      </c>
    </row>
    <row r="18">
      <c r="K18" s="10"/>
      <c r="O18" s="10"/>
    </row>
    <row r="24">
      <c r="E24" s="2" t="s">
        <v>27</v>
      </c>
      <c r="F24" s="9">
        <f>C14+G14+K14+O14+R14</f>
        <v>3496850</v>
      </c>
      <c r="K24" s="12">
        <v>901389.05</v>
      </c>
    </row>
    <row r="25">
      <c r="E25" s="2" t="s">
        <v>28</v>
      </c>
      <c r="F25" s="9">
        <f>C17+G17+K17+O17+R17</f>
        <v>3381453.95</v>
      </c>
      <c r="K25" s="12">
        <v>1259952.65</v>
      </c>
    </row>
    <row r="26">
      <c r="K26" s="12">
        <v>258962.6</v>
      </c>
    </row>
    <row r="27">
      <c r="K27" s="12">
        <v>781867.85</v>
      </c>
    </row>
    <row r="28">
      <c r="K28" s="12">
        <v>179281.8</v>
      </c>
    </row>
    <row r="29">
      <c r="K29" s="12">
        <f>SUM(K24:K28)</f>
        <v>3381453.95</v>
      </c>
    </row>
  </sheetData>
  <hyperlinks>
    <hyperlink r:id="rId1" ref="H1"/>
    <hyperlink r:id="rId2" ref="H2"/>
    <hyperlink r:id="rId3" ref="H3"/>
    <hyperlink r:id="rId4" ref="H4"/>
    <hyperlink r:id="rId5" ref="H5"/>
    <hyperlink r:id="rId6" ref="H6"/>
    <hyperlink r:id="rId7" location="gid=0" ref="H8"/>
    <hyperlink r:id="rId8" location="gid=0" ref="G9"/>
  </hyperlinks>
  <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.75"/>
    <col customWidth="1" min="5" max="5" width="9.25"/>
    <col customWidth="1" min="8" max="9" width="2.25"/>
    <col customWidth="1" min="12" max="12" width="2.13"/>
    <col customWidth="1" min="13" max="13" width="2.25"/>
  </cols>
  <sheetData>
    <row r="1">
      <c r="H1" s="1" t="s">
        <v>0</v>
      </c>
    </row>
    <row r="2">
      <c r="H2" s="1" t="s">
        <v>1</v>
      </c>
    </row>
    <row r="3">
      <c r="G3" s="2" t="s">
        <v>2</v>
      </c>
      <c r="H3" s="1" t="s">
        <v>62</v>
      </c>
    </row>
    <row r="4">
      <c r="G4" s="2" t="s">
        <v>4</v>
      </c>
      <c r="H4" s="3" t="s">
        <v>5</v>
      </c>
    </row>
    <row r="5">
      <c r="G5" s="2" t="s">
        <v>6</v>
      </c>
      <c r="H5" s="3" t="s">
        <v>7</v>
      </c>
    </row>
    <row r="6">
      <c r="G6" s="2" t="s">
        <v>8</v>
      </c>
      <c r="H6" s="3" t="s">
        <v>9</v>
      </c>
    </row>
    <row r="8">
      <c r="G8" s="2" t="s">
        <v>10</v>
      </c>
      <c r="H8" s="3" t="s">
        <v>11</v>
      </c>
    </row>
    <row r="11">
      <c r="B11" s="2" t="s">
        <v>13</v>
      </c>
      <c r="C11" s="2" t="s">
        <v>47</v>
      </c>
      <c r="F11" s="2" t="s">
        <v>13</v>
      </c>
      <c r="G11" s="2" t="s">
        <v>15</v>
      </c>
      <c r="J11" s="2" t="s">
        <v>13</v>
      </c>
      <c r="K11" s="2" t="s">
        <v>32</v>
      </c>
      <c r="N11" s="2" t="s">
        <v>13</v>
      </c>
      <c r="O11" s="2" t="s">
        <v>56</v>
      </c>
    </row>
    <row r="12">
      <c r="B12" s="2" t="s">
        <v>19</v>
      </c>
      <c r="C12" s="5">
        <v>10300.0</v>
      </c>
      <c r="F12" s="2" t="s">
        <v>19</v>
      </c>
      <c r="G12" s="5">
        <v>10300.0</v>
      </c>
      <c r="J12" s="2" t="s">
        <v>19</v>
      </c>
      <c r="K12" s="5">
        <v>10300.0</v>
      </c>
      <c r="N12" s="2" t="s">
        <v>19</v>
      </c>
      <c r="O12" s="5">
        <v>10300.0</v>
      </c>
    </row>
    <row r="13">
      <c r="B13" s="2" t="s">
        <v>20</v>
      </c>
      <c r="C13" s="6">
        <v>153.5</v>
      </c>
      <c r="F13" s="2" t="s">
        <v>20</v>
      </c>
      <c r="G13" s="6">
        <v>153.0</v>
      </c>
      <c r="J13" s="2" t="s">
        <v>20</v>
      </c>
      <c r="K13" s="6">
        <v>57.0</v>
      </c>
      <c r="N13" s="2" t="s">
        <v>20</v>
      </c>
      <c r="O13" s="6">
        <v>48.5</v>
      </c>
    </row>
    <row r="14">
      <c r="B14" s="2" t="s">
        <v>21</v>
      </c>
      <c r="C14" s="9">
        <f>C12*C13</f>
        <v>1581050</v>
      </c>
      <c r="F14" s="2" t="s">
        <v>21</v>
      </c>
      <c r="G14" s="9">
        <f>G12*G13</f>
        <v>1575900</v>
      </c>
      <c r="J14" s="2" t="s">
        <v>21</v>
      </c>
      <c r="K14" s="9">
        <f>K12*K13</f>
        <v>587100</v>
      </c>
      <c r="N14" s="2" t="s">
        <v>21</v>
      </c>
      <c r="O14" s="9">
        <f>O12*O13</f>
        <v>499550</v>
      </c>
    </row>
    <row r="15">
      <c r="B15" s="2" t="s">
        <v>48</v>
      </c>
      <c r="C15" s="9">
        <f>C14*0.033</f>
        <v>52174.65</v>
      </c>
      <c r="F15" s="2" t="s">
        <v>22</v>
      </c>
      <c r="G15" s="9">
        <f>G14*0.033</f>
        <v>52004.7</v>
      </c>
      <c r="J15" s="2" t="s">
        <v>22</v>
      </c>
      <c r="K15" s="9">
        <f>K14*0.033</f>
        <v>19374.3</v>
      </c>
      <c r="N15" s="2" t="s">
        <v>22</v>
      </c>
      <c r="O15" s="9">
        <f>O14*0.033</f>
        <v>16485.15</v>
      </c>
    </row>
    <row r="17">
      <c r="B17" s="2" t="s">
        <v>23</v>
      </c>
      <c r="C17" s="9">
        <f>C14-C15</f>
        <v>1528875.35</v>
      </c>
      <c r="F17" s="2" t="s">
        <v>23</v>
      </c>
      <c r="G17" s="9">
        <f>G14-G15</f>
        <v>1523895.3</v>
      </c>
      <c r="J17" s="2" t="s">
        <v>23</v>
      </c>
      <c r="K17" s="9">
        <f>K14-K15</f>
        <v>567725.7</v>
      </c>
      <c r="N17" s="2" t="s">
        <v>23</v>
      </c>
      <c r="O17" s="9">
        <f>O14-O15</f>
        <v>483064.85</v>
      </c>
    </row>
    <row r="18">
      <c r="K18" s="10"/>
      <c r="O18" s="10"/>
    </row>
    <row r="24">
      <c r="E24" s="2" t="s">
        <v>27</v>
      </c>
      <c r="F24" s="9">
        <f>C14+G14+K14+O14</f>
        <v>4243600</v>
      </c>
    </row>
    <row r="25">
      <c r="E25" s="2" t="s">
        <v>28</v>
      </c>
      <c r="F25" s="9">
        <f>C17+G17+K17+O17</f>
        <v>4103561.2</v>
      </c>
    </row>
  </sheetData>
  <hyperlinks>
    <hyperlink r:id="rId1" ref="H1"/>
    <hyperlink r:id="rId2" ref="H2"/>
    <hyperlink r:id="rId3" ref="H3"/>
    <hyperlink r:id="rId4" ref="H4"/>
    <hyperlink r:id="rId5" ref="H5"/>
    <hyperlink r:id="rId6" ref="H6"/>
    <hyperlink r:id="rId7" location="gid=0" ref="H8"/>
  </hyperlinks>
  <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.75"/>
    <col customWidth="1" min="5" max="5" width="9.25"/>
    <col customWidth="1" min="8" max="9" width="2.25"/>
    <col customWidth="1" min="12" max="12" width="2.13"/>
    <col customWidth="1" min="13" max="13" width="2.25"/>
  </cols>
  <sheetData>
    <row r="1">
      <c r="H1" s="1" t="s">
        <v>0</v>
      </c>
    </row>
    <row r="2">
      <c r="H2" s="1" t="s">
        <v>1</v>
      </c>
    </row>
    <row r="3">
      <c r="G3" s="2" t="s">
        <v>2</v>
      </c>
      <c r="H3" s="1" t="s">
        <v>63</v>
      </c>
    </row>
    <row r="4">
      <c r="G4" s="2" t="s">
        <v>4</v>
      </c>
      <c r="H4" s="3" t="s">
        <v>5</v>
      </c>
    </row>
    <row r="5">
      <c r="G5" s="2" t="s">
        <v>6</v>
      </c>
      <c r="H5" s="3" t="s">
        <v>7</v>
      </c>
    </row>
    <row r="6">
      <c r="G6" s="2" t="s">
        <v>8</v>
      </c>
      <c r="H6" s="3" t="s">
        <v>9</v>
      </c>
    </row>
    <row r="11">
      <c r="B11" s="2" t="s">
        <v>13</v>
      </c>
      <c r="C11" s="2" t="s">
        <v>47</v>
      </c>
      <c r="F11" s="2" t="s">
        <v>13</v>
      </c>
      <c r="G11" s="2" t="s">
        <v>15</v>
      </c>
      <c r="J11" s="2" t="s">
        <v>13</v>
      </c>
      <c r="K11" s="2" t="s">
        <v>32</v>
      </c>
      <c r="N11" s="2" t="s">
        <v>13</v>
      </c>
      <c r="O11" s="2" t="s">
        <v>56</v>
      </c>
    </row>
    <row r="12">
      <c r="B12" s="2" t="s">
        <v>19</v>
      </c>
      <c r="C12" s="5">
        <v>10300.0</v>
      </c>
      <c r="F12" s="2" t="s">
        <v>19</v>
      </c>
      <c r="G12" s="5">
        <v>10300.0</v>
      </c>
      <c r="J12" s="2" t="s">
        <v>19</v>
      </c>
      <c r="K12" s="5">
        <v>10300.0</v>
      </c>
      <c r="N12" s="2" t="s">
        <v>19</v>
      </c>
      <c r="O12" s="5">
        <v>10300.0</v>
      </c>
    </row>
    <row r="13">
      <c r="B13" s="2" t="s">
        <v>20</v>
      </c>
      <c r="C13" s="6">
        <v>156.6</v>
      </c>
      <c r="F13" s="2" t="s">
        <v>20</v>
      </c>
      <c r="G13" s="6">
        <v>104.0</v>
      </c>
      <c r="J13" s="2" t="s">
        <v>20</v>
      </c>
      <c r="K13" s="6">
        <v>70.0</v>
      </c>
      <c r="N13" s="2" t="s">
        <v>20</v>
      </c>
      <c r="O13" s="6">
        <v>83.5</v>
      </c>
    </row>
    <row r="14">
      <c r="B14" s="2" t="s">
        <v>21</v>
      </c>
      <c r="C14" s="9">
        <f>C12*C13</f>
        <v>1612980</v>
      </c>
      <c r="F14" s="2" t="s">
        <v>21</v>
      </c>
      <c r="G14" s="9">
        <f>G12*G13</f>
        <v>1071200</v>
      </c>
      <c r="J14" s="2" t="s">
        <v>21</v>
      </c>
      <c r="K14" s="9">
        <f>K12*K13</f>
        <v>721000</v>
      </c>
      <c r="N14" s="2" t="s">
        <v>21</v>
      </c>
      <c r="O14" s="9">
        <f>O12*O13</f>
        <v>860050</v>
      </c>
    </row>
    <row r="15">
      <c r="B15" s="2" t="s">
        <v>48</v>
      </c>
      <c r="C15" s="9">
        <f>C14*0.033</f>
        <v>53228.34</v>
      </c>
      <c r="F15" s="2" t="s">
        <v>22</v>
      </c>
      <c r="G15" s="9">
        <f>G14*0.033</f>
        <v>35349.6</v>
      </c>
      <c r="J15" s="2" t="s">
        <v>22</v>
      </c>
      <c r="K15" s="9">
        <f>K14*0.033</f>
        <v>23793</v>
      </c>
      <c r="N15" s="2" t="s">
        <v>22</v>
      </c>
      <c r="O15" s="9">
        <f>O14*0.033</f>
        <v>28381.65</v>
      </c>
    </row>
    <row r="17">
      <c r="B17" s="2" t="s">
        <v>23</v>
      </c>
      <c r="C17" s="9">
        <f>C14-C15</f>
        <v>1559751.66</v>
      </c>
      <c r="F17" s="2" t="s">
        <v>23</v>
      </c>
      <c r="G17" s="9">
        <f>G14-G15</f>
        <v>1035850.4</v>
      </c>
      <c r="J17" s="2" t="s">
        <v>23</v>
      </c>
      <c r="K17" s="9">
        <f>K14-K15</f>
        <v>697207</v>
      </c>
      <c r="N17" s="2" t="s">
        <v>23</v>
      </c>
      <c r="O17" s="9">
        <f>O14-O15</f>
        <v>831668.35</v>
      </c>
    </row>
    <row r="18">
      <c r="K18" s="10"/>
      <c r="O18" s="10"/>
    </row>
    <row r="24">
      <c r="E24" s="2" t="s">
        <v>27</v>
      </c>
      <c r="F24" s="9">
        <f>C14+G14+K14+O14</f>
        <v>4265230</v>
      </c>
    </row>
    <row r="25">
      <c r="E25" s="2" t="s">
        <v>28</v>
      </c>
      <c r="F25" s="9">
        <f>C17+G17+K17+O17</f>
        <v>4124477.41</v>
      </c>
    </row>
  </sheetData>
  <hyperlinks>
    <hyperlink r:id="rId1" ref="H1"/>
    <hyperlink r:id="rId2" ref="H2"/>
    <hyperlink r:id="rId3" ref="H3"/>
    <hyperlink r:id="rId4" ref="H4"/>
    <hyperlink r:id="rId5" ref="H5"/>
    <hyperlink r:id="rId6" ref="H6"/>
  </hyperlinks>
  <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.75"/>
    <col customWidth="1" min="5" max="5" width="9.25"/>
    <col customWidth="1" min="8" max="9" width="2.25"/>
    <col customWidth="1" min="12" max="12" width="2.13"/>
    <col customWidth="1" min="13" max="13" width="2.25"/>
  </cols>
  <sheetData>
    <row r="1">
      <c r="H1" s="1" t="s">
        <v>0</v>
      </c>
    </row>
    <row r="2">
      <c r="H2" s="1" t="s">
        <v>1</v>
      </c>
    </row>
    <row r="3">
      <c r="G3" s="2" t="s">
        <v>2</v>
      </c>
      <c r="H3" s="1" t="s">
        <v>64</v>
      </c>
    </row>
    <row r="4">
      <c r="G4" s="2" t="s">
        <v>4</v>
      </c>
      <c r="H4" s="3" t="s">
        <v>5</v>
      </c>
    </row>
    <row r="5">
      <c r="G5" s="2" t="s">
        <v>6</v>
      </c>
      <c r="H5" s="3" t="s">
        <v>7</v>
      </c>
    </row>
    <row r="6">
      <c r="G6" s="2" t="s">
        <v>8</v>
      </c>
      <c r="H6" s="3" t="s">
        <v>9</v>
      </c>
    </row>
    <row r="11">
      <c r="B11" s="2" t="s">
        <v>13</v>
      </c>
      <c r="C11" s="2" t="s">
        <v>47</v>
      </c>
      <c r="F11" s="2" t="s">
        <v>13</v>
      </c>
      <c r="G11" s="2" t="s">
        <v>15</v>
      </c>
      <c r="J11" s="2" t="s">
        <v>13</v>
      </c>
      <c r="K11" s="2" t="s">
        <v>32</v>
      </c>
      <c r="N11" s="2" t="s">
        <v>13</v>
      </c>
      <c r="O11" s="2" t="s">
        <v>65</v>
      </c>
    </row>
    <row r="12">
      <c r="B12" s="2" t="s">
        <v>19</v>
      </c>
      <c r="C12" s="5">
        <v>10300.0</v>
      </c>
      <c r="F12" s="2" t="s">
        <v>19</v>
      </c>
      <c r="G12" s="5">
        <v>10300.0</v>
      </c>
      <c r="J12" s="2" t="s">
        <v>19</v>
      </c>
      <c r="K12" s="5">
        <v>10300.0</v>
      </c>
      <c r="N12" s="2" t="s">
        <v>19</v>
      </c>
      <c r="O12" s="5">
        <v>10300.0</v>
      </c>
    </row>
    <row r="13">
      <c r="B13" s="2" t="s">
        <v>20</v>
      </c>
      <c r="C13" s="6">
        <v>144.0</v>
      </c>
      <c r="F13" s="2" t="s">
        <v>20</v>
      </c>
      <c r="G13" s="6">
        <v>132.0</v>
      </c>
      <c r="J13" s="2" t="s">
        <v>20</v>
      </c>
      <c r="K13" s="6">
        <v>57.0</v>
      </c>
      <c r="N13" s="2" t="s">
        <v>20</v>
      </c>
      <c r="O13" s="6">
        <v>60.0</v>
      </c>
    </row>
    <row r="14">
      <c r="B14" s="2" t="s">
        <v>21</v>
      </c>
      <c r="C14" s="9">
        <f>C12*C13</f>
        <v>1483200</v>
      </c>
      <c r="F14" s="2" t="s">
        <v>21</v>
      </c>
      <c r="G14" s="9">
        <f>G12*G13</f>
        <v>1359600</v>
      </c>
      <c r="J14" s="2" t="s">
        <v>21</v>
      </c>
      <c r="K14" s="9">
        <f>K12*K13</f>
        <v>587100</v>
      </c>
      <c r="N14" s="2" t="s">
        <v>21</v>
      </c>
      <c r="O14" s="9">
        <f>O12*O13</f>
        <v>618000</v>
      </c>
    </row>
    <row r="15">
      <c r="B15" s="2" t="s">
        <v>48</v>
      </c>
      <c r="C15" s="9">
        <f>C14*0.033</f>
        <v>48945.6</v>
      </c>
      <c r="F15" s="2" t="s">
        <v>22</v>
      </c>
      <c r="G15" s="9">
        <f>G14*0.033</f>
        <v>44866.8</v>
      </c>
      <c r="J15" s="2" t="s">
        <v>22</v>
      </c>
      <c r="K15" s="9">
        <f>K14*0.033</f>
        <v>19374.3</v>
      </c>
      <c r="N15" s="2" t="s">
        <v>22</v>
      </c>
      <c r="O15" s="9">
        <f>O14*0.033</f>
        <v>20394</v>
      </c>
    </row>
    <row r="17">
      <c r="B17" s="2" t="s">
        <v>23</v>
      </c>
      <c r="C17" s="9">
        <f>C14-C15</f>
        <v>1434254.4</v>
      </c>
      <c r="F17" s="2" t="s">
        <v>23</v>
      </c>
      <c r="G17" s="9">
        <f>G14-G15</f>
        <v>1314733.2</v>
      </c>
      <c r="J17" s="2" t="s">
        <v>23</v>
      </c>
      <c r="K17" s="9">
        <f>K14-K15</f>
        <v>567725.7</v>
      </c>
      <c r="N17" s="2" t="s">
        <v>23</v>
      </c>
      <c r="O17" s="9">
        <f>O14-O15</f>
        <v>597606</v>
      </c>
    </row>
    <row r="18">
      <c r="K18" s="10"/>
      <c r="O18" s="10"/>
    </row>
    <row r="24">
      <c r="E24" s="2" t="s">
        <v>27</v>
      </c>
      <c r="F24" s="9">
        <f>C14+G14+K14+O14</f>
        <v>4047900</v>
      </c>
    </row>
    <row r="25">
      <c r="E25" s="2" t="s">
        <v>28</v>
      </c>
      <c r="F25" s="9">
        <f>C17+G17+K17+O17</f>
        <v>3914319.3</v>
      </c>
    </row>
  </sheetData>
  <hyperlinks>
    <hyperlink r:id="rId1" ref="H1"/>
    <hyperlink r:id="rId2" ref="H2"/>
    <hyperlink r:id="rId3" ref="H3"/>
    <hyperlink r:id="rId4" ref="H4"/>
    <hyperlink r:id="rId5" ref="H5"/>
    <hyperlink r:id="rId6" ref="H6"/>
  </hyperlinks>
  <drawing r:id="rId7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.75"/>
    <col customWidth="1" min="5" max="5" width="9.25"/>
    <col customWidth="1" min="8" max="9" width="2.25"/>
    <col customWidth="1" min="12" max="12" width="2.13"/>
    <col customWidth="1" min="13" max="13" width="2.25"/>
  </cols>
  <sheetData>
    <row r="1">
      <c r="H1" s="1" t="s">
        <v>0</v>
      </c>
    </row>
    <row r="2">
      <c r="H2" s="1" t="s">
        <v>1</v>
      </c>
    </row>
    <row r="3">
      <c r="G3" s="2" t="s">
        <v>2</v>
      </c>
      <c r="H3" s="1" t="s">
        <v>66</v>
      </c>
    </row>
    <row r="4">
      <c r="G4" s="2" t="s">
        <v>4</v>
      </c>
      <c r="H4" s="3" t="s">
        <v>5</v>
      </c>
    </row>
    <row r="5">
      <c r="G5" s="2" t="s">
        <v>6</v>
      </c>
      <c r="H5" s="3" t="s">
        <v>7</v>
      </c>
    </row>
    <row r="6">
      <c r="G6" s="2" t="s">
        <v>8</v>
      </c>
      <c r="H6" s="3" t="s">
        <v>9</v>
      </c>
    </row>
    <row r="11">
      <c r="B11" s="2" t="s">
        <v>13</v>
      </c>
      <c r="C11" s="2" t="s">
        <v>47</v>
      </c>
      <c r="F11" s="2" t="s">
        <v>13</v>
      </c>
      <c r="G11" s="2" t="s">
        <v>15</v>
      </c>
      <c r="J11" s="2" t="s">
        <v>13</v>
      </c>
      <c r="K11" s="2" t="s">
        <v>32</v>
      </c>
      <c r="N11" s="2" t="s">
        <v>13</v>
      </c>
      <c r="O11" s="2" t="s">
        <v>65</v>
      </c>
    </row>
    <row r="12">
      <c r="B12" s="2" t="s">
        <v>19</v>
      </c>
      <c r="C12" s="5">
        <v>10300.0</v>
      </c>
      <c r="F12" s="2" t="s">
        <v>19</v>
      </c>
      <c r="G12" s="5">
        <v>10300.0</v>
      </c>
      <c r="J12" s="2" t="s">
        <v>19</v>
      </c>
      <c r="K12" s="5">
        <v>10300.0</v>
      </c>
      <c r="N12" s="2" t="s">
        <v>19</v>
      </c>
      <c r="O12" s="5">
        <v>10300.0</v>
      </c>
    </row>
    <row r="13">
      <c r="B13" s="2" t="s">
        <v>20</v>
      </c>
      <c r="C13" s="6">
        <v>168.0</v>
      </c>
      <c r="F13" s="2" t="s">
        <v>20</v>
      </c>
      <c r="G13" s="6">
        <v>150.0</v>
      </c>
      <c r="J13" s="2" t="s">
        <v>20</v>
      </c>
      <c r="K13" s="6">
        <v>66.0</v>
      </c>
      <c r="N13" s="2" t="s">
        <v>20</v>
      </c>
      <c r="O13" s="6">
        <v>43.0</v>
      </c>
    </row>
    <row r="14">
      <c r="B14" s="2" t="s">
        <v>21</v>
      </c>
      <c r="C14" s="9">
        <f>C12*C13</f>
        <v>1730400</v>
      </c>
      <c r="F14" s="2" t="s">
        <v>21</v>
      </c>
      <c r="G14" s="9">
        <f>G12*G13</f>
        <v>1545000</v>
      </c>
      <c r="J14" s="2" t="s">
        <v>21</v>
      </c>
      <c r="K14" s="9">
        <f>K12*K13</f>
        <v>679800</v>
      </c>
      <c r="N14" s="2" t="s">
        <v>21</v>
      </c>
      <c r="O14" s="9">
        <f>O12*O13</f>
        <v>442900</v>
      </c>
    </row>
    <row r="15">
      <c r="B15" s="2" t="s">
        <v>48</v>
      </c>
      <c r="C15" s="9">
        <f>C14*0.033</f>
        <v>57103.2</v>
      </c>
      <c r="F15" s="2" t="s">
        <v>22</v>
      </c>
      <c r="G15" s="9">
        <f>G14*0.033</f>
        <v>50985</v>
      </c>
      <c r="J15" s="2" t="s">
        <v>22</v>
      </c>
      <c r="K15" s="9">
        <f>K14*0.033</f>
        <v>22433.4</v>
      </c>
      <c r="N15" s="2" t="s">
        <v>22</v>
      </c>
      <c r="O15" s="9">
        <f>O14*0.033</f>
        <v>14615.7</v>
      </c>
    </row>
    <row r="17">
      <c r="B17" s="2" t="s">
        <v>23</v>
      </c>
      <c r="C17" s="9">
        <f>C14-C15</f>
        <v>1673296.8</v>
      </c>
      <c r="F17" s="2" t="s">
        <v>23</v>
      </c>
      <c r="G17" s="9">
        <f>G14-G15</f>
        <v>1494015</v>
      </c>
      <c r="J17" s="2" t="s">
        <v>23</v>
      </c>
      <c r="K17" s="9">
        <f>K14-K15</f>
        <v>657366.6</v>
      </c>
      <c r="N17" s="2" t="s">
        <v>23</v>
      </c>
      <c r="O17" s="9">
        <f>O14-O15</f>
        <v>428284.3</v>
      </c>
    </row>
    <row r="18">
      <c r="K18" s="10"/>
      <c r="O18" s="10"/>
    </row>
    <row r="24">
      <c r="E24" s="2" t="s">
        <v>27</v>
      </c>
      <c r="F24" s="9">
        <f>C14+G14+K14+O14</f>
        <v>4398100</v>
      </c>
    </row>
    <row r="25">
      <c r="E25" s="2" t="s">
        <v>28</v>
      </c>
      <c r="F25" s="9">
        <f>C17+G17+K17+O17</f>
        <v>4252962.7</v>
      </c>
    </row>
  </sheetData>
  <hyperlinks>
    <hyperlink r:id="rId1" ref="H1"/>
    <hyperlink r:id="rId2" ref="H2"/>
    <hyperlink r:id="rId3" ref="H3"/>
    <hyperlink r:id="rId4" ref="H4"/>
    <hyperlink r:id="rId5" ref="H5"/>
    <hyperlink r:id="rId6" ref="H6"/>
  </hyperlinks>
  <drawing r:id="rId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H1" s="1" t="s">
        <v>0</v>
      </c>
    </row>
    <row r="2">
      <c r="H2" s="1" t="s">
        <v>1</v>
      </c>
    </row>
    <row r="3">
      <c r="G3" s="2" t="s">
        <v>2</v>
      </c>
      <c r="H3" s="1" t="s">
        <v>67</v>
      </c>
    </row>
    <row r="4">
      <c r="G4" s="2" t="s">
        <v>4</v>
      </c>
      <c r="H4" s="3" t="s">
        <v>5</v>
      </c>
    </row>
    <row r="5">
      <c r="G5" s="2" t="s">
        <v>6</v>
      </c>
      <c r="H5" s="3" t="s">
        <v>7</v>
      </c>
    </row>
    <row r="6">
      <c r="G6" s="2" t="s">
        <v>8</v>
      </c>
      <c r="H6" s="3" t="s">
        <v>9</v>
      </c>
    </row>
    <row r="11">
      <c r="B11" s="2" t="s">
        <v>13</v>
      </c>
      <c r="C11" s="2" t="s">
        <v>47</v>
      </c>
      <c r="F11" s="2" t="s">
        <v>13</v>
      </c>
      <c r="G11" s="2" t="s">
        <v>15</v>
      </c>
      <c r="J11" s="2" t="s">
        <v>13</v>
      </c>
      <c r="K11" s="2" t="s">
        <v>32</v>
      </c>
      <c r="N11" s="2" t="s">
        <v>13</v>
      </c>
      <c r="O11" s="2" t="s">
        <v>65</v>
      </c>
    </row>
    <row r="12">
      <c r="B12" s="2" t="s">
        <v>19</v>
      </c>
      <c r="C12" s="5">
        <v>10300.0</v>
      </c>
      <c r="F12" s="2" t="s">
        <v>19</v>
      </c>
      <c r="G12" s="5">
        <v>10300.0</v>
      </c>
      <c r="J12" s="2" t="s">
        <v>19</v>
      </c>
      <c r="K12" s="5">
        <v>10300.0</v>
      </c>
      <c r="N12" s="2" t="s">
        <v>19</v>
      </c>
      <c r="O12" s="5">
        <v>10000.0</v>
      </c>
    </row>
    <row r="13">
      <c r="B13" s="2" t="s">
        <v>20</v>
      </c>
      <c r="C13" s="6">
        <v>130.0</v>
      </c>
      <c r="F13" s="2" t="s">
        <v>20</v>
      </c>
      <c r="G13" s="6">
        <v>186.0</v>
      </c>
      <c r="J13" s="2" t="s">
        <v>20</v>
      </c>
      <c r="K13" s="6">
        <v>42.0</v>
      </c>
      <c r="N13" s="2" t="s">
        <v>20</v>
      </c>
      <c r="O13" s="6">
        <v>60.0</v>
      </c>
    </row>
    <row r="14">
      <c r="B14" s="2" t="s">
        <v>21</v>
      </c>
      <c r="C14" s="9">
        <f>C12*C13</f>
        <v>1339000</v>
      </c>
      <c r="F14" s="2" t="s">
        <v>21</v>
      </c>
      <c r="G14" s="9">
        <f>G12*G13</f>
        <v>1915800</v>
      </c>
      <c r="J14" s="2" t="s">
        <v>21</v>
      </c>
      <c r="K14" s="9">
        <f>K12*K13</f>
        <v>432600</v>
      </c>
      <c r="N14" s="2" t="s">
        <v>21</v>
      </c>
      <c r="O14" s="9">
        <f>O12*O13</f>
        <v>600000</v>
      </c>
    </row>
    <row r="15">
      <c r="B15" s="2" t="s">
        <v>48</v>
      </c>
      <c r="C15" s="9">
        <f>C14*0.033</f>
        <v>44187</v>
      </c>
      <c r="F15" s="2" t="s">
        <v>22</v>
      </c>
      <c r="G15" s="9">
        <f>G14*0.033</f>
        <v>63221.4</v>
      </c>
      <c r="J15" s="2" t="s">
        <v>22</v>
      </c>
      <c r="K15" s="9">
        <f>K14*0.033</f>
        <v>14275.8</v>
      </c>
      <c r="N15" s="2" t="s">
        <v>22</v>
      </c>
      <c r="O15" s="9">
        <f>O14*0.033</f>
        <v>19800</v>
      </c>
    </row>
    <row r="17">
      <c r="B17" s="2" t="s">
        <v>23</v>
      </c>
      <c r="C17" s="9">
        <f>C14-C15</f>
        <v>1294813</v>
      </c>
      <c r="F17" s="2" t="s">
        <v>23</v>
      </c>
      <c r="G17" s="9">
        <f>G14-G15</f>
        <v>1852578.6</v>
      </c>
      <c r="J17" s="2" t="s">
        <v>23</v>
      </c>
      <c r="K17" s="9">
        <f>K14-K15</f>
        <v>418324.2</v>
      </c>
      <c r="N17" s="2" t="s">
        <v>23</v>
      </c>
      <c r="O17" s="9">
        <f>O14-O15</f>
        <v>580200</v>
      </c>
    </row>
    <row r="18">
      <c r="K18" s="10"/>
      <c r="O18" s="10"/>
    </row>
    <row r="24">
      <c r="E24" s="2" t="s">
        <v>27</v>
      </c>
      <c r="F24" s="9">
        <f>C14+G14+K14+O14</f>
        <v>4287400</v>
      </c>
    </row>
    <row r="25">
      <c r="E25" s="2" t="s">
        <v>28</v>
      </c>
      <c r="F25" s="9">
        <f>C17+G17+K17+O17</f>
        <v>4145915.8</v>
      </c>
    </row>
  </sheetData>
  <hyperlinks>
    <hyperlink r:id="rId1" ref="H1"/>
    <hyperlink r:id="rId2" ref="H2"/>
    <hyperlink r:id="rId3" ref="H3"/>
    <hyperlink r:id="rId4" ref="H4"/>
    <hyperlink r:id="rId5" ref="H5"/>
    <hyperlink r:id="rId6" ref="H6"/>
  </hyperlinks>
  <drawing r:id="rId7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H1" s="1" t="s">
        <v>0</v>
      </c>
    </row>
    <row r="2">
      <c r="H2" s="1" t="s">
        <v>1</v>
      </c>
    </row>
    <row r="3">
      <c r="G3" s="2" t="s">
        <v>2</v>
      </c>
      <c r="H3" s="1" t="s">
        <v>68</v>
      </c>
    </row>
    <row r="4">
      <c r="G4" s="2" t="s">
        <v>4</v>
      </c>
      <c r="H4" s="3" t="s">
        <v>5</v>
      </c>
    </row>
    <row r="5">
      <c r="G5" s="2" t="s">
        <v>6</v>
      </c>
      <c r="H5" s="3" t="s">
        <v>7</v>
      </c>
    </row>
    <row r="6">
      <c r="G6" s="2" t="s">
        <v>8</v>
      </c>
      <c r="H6" s="3" t="s">
        <v>9</v>
      </c>
    </row>
    <row r="11">
      <c r="B11" s="2" t="s">
        <v>13</v>
      </c>
      <c r="C11" s="2" t="s">
        <v>47</v>
      </c>
      <c r="F11" s="2" t="s">
        <v>13</v>
      </c>
      <c r="G11" s="2" t="s">
        <v>15</v>
      </c>
      <c r="J11" s="2" t="s">
        <v>13</v>
      </c>
      <c r="K11" s="2" t="s">
        <v>32</v>
      </c>
      <c r="N11" s="2" t="s">
        <v>13</v>
      </c>
      <c r="O11" s="2" t="s">
        <v>65</v>
      </c>
    </row>
    <row r="12">
      <c r="B12" s="2" t="s">
        <v>19</v>
      </c>
      <c r="C12" s="5">
        <v>10000.0</v>
      </c>
      <c r="F12" s="2" t="s">
        <v>19</v>
      </c>
      <c r="G12" s="5">
        <v>10000.0</v>
      </c>
      <c r="J12" s="2" t="s">
        <v>19</v>
      </c>
      <c r="K12" s="5">
        <v>10000.0</v>
      </c>
      <c r="N12" s="2" t="s">
        <v>19</v>
      </c>
      <c r="O12" s="5">
        <v>10000.0</v>
      </c>
    </row>
    <row r="13">
      <c r="B13" s="2" t="s">
        <v>20</v>
      </c>
      <c r="C13" s="6">
        <v>163.5</v>
      </c>
      <c r="F13" s="2" t="s">
        <v>20</v>
      </c>
      <c r="G13" s="6">
        <v>141.0</v>
      </c>
      <c r="J13" s="2" t="s">
        <v>20</v>
      </c>
      <c r="K13" s="6">
        <v>56.5</v>
      </c>
      <c r="N13" s="2" t="s">
        <v>20</v>
      </c>
      <c r="O13" s="6">
        <v>55.5</v>
      </c>
    </row>
    <row r="14">
      <c r="B14" s="2" t="s">
        <v>21</v>
      </c>
      <c r="C14" s="9">
        <f>C12*C13</f>
        <v>1635000</v>
      </c>
      <c r="F14" s="2" t="s">
        <v>21</v>
      </c>
      <c r="G14" s="9">
        <f>G12*G13</f>
        <v>1410000</v>
      </c>
      <c r="J14" s="2" t="s">
        <v>21</v>
      </c>
      <c r="K14" s="9">
        <f>K12*K13</f>
        <v>565000</v>
      </c>
      <c r="N14" s="2" t="s">
        <v>21</v>
      </c>
      <c r="O14" s="9">
        <f>O12*O13</f>
        <v>555000</v>
      </c>
    </row>
    <row r="15">
      <c r="B15" s="2" t="s">
        <v>48</v>
      </c>
      <c r="C15" s="9">
        <f>C14*0.033</f>
        <v>53955</v>
      </c>
      <c r="F15" s="2" t="s">
        <v>22</v>
      </c>
      <c r="G15" s="9">
        <f>G14*0.033</f>
        <v>46530</v>
      </c>
    </row>
    <row r="17">
      <c r="B17" s="2" t="s">
        <v>23</v>
      </c>
      <c r="C17" s="9">
        <f>C14-C15</f>
        <v>1581045</v>
      </c>
      <c r="F17" s="2" t="s">
        <v>23</v>
      </c>
      <c r="G17" s="9">
        <f>G14-G15</f>
        <v>1363470</v>
      </c>
      <c r="J17" s="2" t="s">
        <v>23</v>
      </c>
      <c r="K17" s="9">
        <f>K14-K16</f>
        <v>565000</v>
      </c>
      <c r="N17" s="2" t="s">
        <v>23</v>
      </c>
      <c r="O17" s="9">
        <f>O14-O16</f>
        <v>555000</v>
      </c>
    </row>
    <row r="18">
      <c r="J18" s="2" t="s">
        <v>69</v>
      </c>
      <c r="K18" s="10">
        <v>50000.0</v>
      </c>
      <c r="N18" s="2" t="s">
        <v>69</v>
      </c>
      <c r="O18" s="10">
        <v>50000.0</v>
      </c>
    </row>
    <row r="20">
      <c r="J20" s="2" t="s">
        <v>70</v>
      </c>
      <c r="K20" s="9">
        <f>K17+K18</f>
        <v>615000</v>
      </c>
      <c r="N20" s="2" t="s">
        <v>70</v>
      </c>
      <c r="O20" s="9">
        <f>O17+O18</f>
        <v>605000</v>
      </c>
    </row>
  </sheetData>
  <hyperlinks>
    <hyperlink r:id="rId1" ref="H1"/>
    <hyperlink r:id="rId2" ref="H2"/>
    <hyperlink r:id="rId3" ref="H3"/>
    <hyperlink r:id="rId4" ref="H4"/>
    <hyperlink r:id="rId5" ref="H5"/>
    <hyperlink r:id="rId6" ref="H6"/>
  </hyperlinks>
  <drawing r:id="rId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H1" s="1" t="s">
        <v>0</v>
      </c>
    </row>
    <row r="2">
      <c r="H2" s="1" t="s">
        <v>1</v>
      </c>
    </row>
    <row r="3">
      <c r="G3" s="2" t="s">
        <v>2</v>
      </c>
      <c r="H3" s="1" t="s">
        <v>71</v>
      </c>
    </row>
    <row r="4">
      <c r="G4" s="2" t="s">
        <v>4</v>
      </c>
      <c r="H4" s="3" t="s">
        <v>5</v>
      </c>
    </row>
    <row r="5">
      <c r="G5" s="2" t="s">
        <v>6</v>
      </c>
      <c r="H5" s="3" t="s">
        <v>7</v>
      </c>
    </row>
    <row r="6">
      <c r="G6" s="2" t="s">
        <v>8</v>
      </c>
      <c r="H6" s="3" t="s">
        <v>9</v>
      </c>
    </row>
    <row r="11">
      <c r="B11" s="2" t="s">
        <v>13</v>
      </c>
      <c r="C11" s="2" t="s">
        <v>47</v>
      </c>
      <c r="F11" s="2" t="s">
        <v>13</v>
      </c>
      <c r="G11" s="2" t="s">
        <v>15</v>
      </c>
      <c r="J11" s="2" t="s">
        <v>13</v>
      </c>
      <c r="K11" s="2" t="s">
        <v>32</v>
      </c>
      <c r="N11" s="2" t="s">
        <v>13</v>
      </c>
      <c r="O11" s="2" t="s">
        <v>65</v>
      </c>
    </row>
    <row r="12">
      <c r="B12" s="2" t="s">
        <v>19</v>
      </c>
      <c r="C12" s="5">
        <v>10000.0</v>
      </c>
      <c r="F12" s="2" t="s">
        <v>19</v>
      </c>
      <c r="G12" s="5">
        <v>10000.0</v>
      </c>
      <c r="J12" s="2" t="s">
        <v>19</v>
      </c>
      <c r="K12" s="5">
        <v>10000.0</v>
      </c>
      <c r="N12" s="2" t="s">
        <v>19</v>
      </c>
      <c r="O12" s="5">
        <v>10000.0</v>
      </c>
    </row>
    <row r="13">
      <c r="B13" s="2" t="s">
        <v>20</v>
      </c>
      <c r="C13" s="6">
        <v>174.0</v>
      </c>
      <c r="F13" s="2" t="s">
        <v>20</v>
      </c>
      <c r="G13" s="6">
        <v>144.0</v>
      </c>
      <c r="J13" s="2" t="s">
        <v>20</v>
      </c>
      <c r="K13" s="6">
        <v>56.5</v>
      </c>
      <c r="N13" s="2" t="s">
        <v>20</v>
      </c>
      <c r="O13" s="6">
        <v>54.5</v>
      </c>
    </row>
    <row r="14">
      <c r="B14" s="2" t="s">
        <v>21</v>
      </c>
      <c r="C14" s="9">
        <f>C12*C13</f>
        <v>1740000</v>
      </c>
      <c r="F14" s="2" t="s">
        <v>21</v>
      </c>
      <c r="G14" s="9">
        <f>G12*G13</f>
        <v>1440000</v>
      </c>
      <c r="J14" s="2" t="s">
        <v>21</v>
      </c>
      <c r="K14" s="9">
        <f>K12*K13</f>
        <v>565000</v>
      </c>
      <c r="N14" s="2" t="s">
        <v>21</v>
      </c>
      <c r="O14" s="9">
        <f>O12*O13</f>
        <v>545000</v>
      </c>
    </row>
    <row r="16">
      <c r="C16" s="2" t="s">
        <v>72</v>
      </c>
      <c r="D16" s="2" t="s">
        <v>73</v>
      </c>
      <c r="G16" s="2" t="s">
        <v>72</v>
      </c>
      <c r="H16" s="2" t="s">
        <v>73</v>
      </c>
      <c r="K16" s="2" t="s">
        <v>72</v>
      </c>
      <c r="L16" s="2" t="s">
        <v>73</v>
      </c>
      <c r="O16" s="2" t="s">
        <v>72</v>
      </c>
      <c r="P16" s="2" t="s">
        <v>73</v>
      </c>
    </row>
    <row r="17">
      <c r="B17" s="13" t="s">
        <v>74</v>
      </c>
      <c r="C17" s="10">
        <v>0.0</v>
      </c>
      <c r="D17" s="10">
        <v>0.0</v>
      </c>
      <c r="F17" s="13" t="s">
        <v>74</v>
      </c>
      <c r="G17" s="9">
        <f>ROUNDDOWN(G14*0.045, -1)</f>
        <v>64800</v>
      </c>
      <c r="H17" s="9">
        <f>ROUNDDOWN(G14*0.045, -1)</f>
        <v>64800</v>
      </c>
      <c r="J17" s="14" t="s">
        <v>74</v>
      </c>
      <c r="K17" s="15">
        <v>0.0</v>
      </c>
      <c r="L17" s="15">
        <v>0.0</v>
      </c>
      <c r="N17" s="14" t="s">
        <v>74</v>
      </c>
      <c r="O17" s="15">
        <v>0.0</v>
      </c>
      <c r="P17" s="15">
        <v>0.0</v>
      </c>
    </row>
    <row r="18">
      <c r="B18" s="13" t="s">
        <v>75</v>
      </c>
      <c r="C18" s="10">
        <v>0.0</v>
      </c>
      <c r="D18" s="10">
        <v>0.0</v>
      </c>
      <c r="F18" s="13" t="s">
        <v>75</v>
      </c>
      <c r="G18" s="9">
        <f>ROUNDDOWN(G14*0.03545, -1)</f>
        <v>51040</v>
      </c>
      <c r="H18" s="9">
        <f>ROUNDDOWN(G14*0.03545, -1)</f>
        <v>51040</v>
      </c>
      <c r="J18" s="14" t="s">
        <v>75</v>
      </c>
      <c r="K18" s="15">
        <v>0.0</v>
      </c>
      <c r="L18" s="15">
        <v>0.0</v>
      </c>
      <c r="N18" s="14" t="s">
        <v>75</v>
      </c>
      <c r="O18" s="15">
        <v>0.0</v>
      </c>
      <c r="P18" s="15">
        <v>0.0</v>
      </c>
    </row>
    <row r="19">
      <c r="B19" s="2" t="s">
        <v>76</v>
      </c>
      <c r="C19" s="10">
        <v>0.0</v>
      </c>
      <c r="D19" s="10">
        <v>0.0</v>
      </c>
      <c r="F19" s="2" t="s">
        <v>76</v>
      </c>
      <c r="G19" s="9">
        <f>ROUNDDOWN(G14*0.004591, -1)</f>
        <v>6610</v>
      </c>
      <c r="H19" s="9">
        <f>ROUNDDOWN(G14*0.004591, -1)</f>
        <v>6610</v>
      </c>
      <c r="J19" s="16" t="s">
        <v>76</v>
      </c>
      <c r="K19" s="15">
        <v>0.0</v>
      </c>
      <c r="L19" s="15">
        <v>0.0</v>
      </c>
      <c r="N19" s="16" t="s">
        <v>76</v>
      </c>
      <c r="O19" s="15">
        <v>0.0</v>
      </c>
      <c r="P19" s="15">
        <v>0.0</v>
      </c>
    </row>
    <row r="20">
      <c r="B20" s="13" t="s">
        <v>77</v>
      </c>
      <c r="C20" s="10">
        <v>0.0</v>
      </c>
      <c r="D20" s="10">
        <v>0.0</v>
      </c>
      <c r="F20" s="13" t="s">
        <v>77</v>
      </c>
      <c r="G20" s="9">
        <f>ROUNDDOWN(C14*0.009, -1)</f>
        <v>15660</v>
      </c>
      <c r="H20" s="9">
        <f>ROUNDDOWN(G14*0.009, -1)</f>
        <v>12960</v>
      </c>
      <c r="J20" s="14" t="s">
        <v>77</v>
      </c>
      <c r="K20" s="15">
        <v>0.0</v>
      </c>
      <c r="L20" s="15">
        <v>0.0</v>
      </c>
      <c r="N20" s="14" t="s">
        <v>77</v>
      </c>
      <c r="O20" s="15">
        <v>0.0</v>
      </c>
      <c r="P20" s="15">
        <v>0.0</v>
      </c>
    </row>
    <row r="21">
      <c r="B21" s="2" t="s">
        <v>78</v>
      </c>
      <c r="C21" s="10">
        <v>0.0</v>
      </c>
      <c r="D21" s="10">
        <v>0.0</v>
      </c>
      <c r="F21" s="2" t="s">
        <v>78</v>
      </c>
      <c r="G21" s="10">
        <v>0.0</v>
      </c>
      <c r="H21" s="9">
        <f>ROUNDDOWN(G14*0.0025, -1)</f>
        <v>3600</v>
      </c>
      <c r="J21" s="16" t="s">
        <v>78</v>
      </c>
      <c r="K21" s="15">
        <v>0.0</v>
      </c>
      <c r="L21" s="15">
        <v>0.0</v>
      </c>
      <c r="N21" s="16" t="s">
        <v>78</v>
      </c>
      <c r="O21" s="15">
        <v>0.0</v>
      </c>
      <c r="P21" s="15">
        <v>0.0</v>
      </c>
    </row>
    <row r="22">
      <c r="B22" s="13" t="s">
        <v>79</v>
      </c>
      <c r="C22" s="10">
        <v>0.0</v>
      </c>
      <c r="D22" s="10">
        <v>0.0</v>
      </c>
      <c r="F22" s="13" t="s">
        <v>79</v>
      </c>
      <c r="G22" s="10">
        <v>0.0</v>
      </c>
      <c r="H22" s="9">
        <f>ROUNDDOWN(G14*0.006, -1)</f>
        <v>8640</v>
      </c>
      <c r="J22" s="13" t="s">
        <v>79</v>
      </c>
      <c r="K22" s="10">
        <v>0.0</v>
      </c>
      <c r="L22" s="9">
        <f>ROUNDDOWN(K14*0.006, -1)</f>
        <v>3390</v>
      </c>
      <c r="N22" s="13" t="s">
        <v>79</v>
      </c>
      <c r="O22" s="10">
        <v>0.0</v>
      </c>
      <c r="P22" s="9">
        <f>ROUNDDOWN(O14*0.006, -1)</f>
        <v>3270</v>
      </c>
    </row>
    <row r="23">
      <c r="B23" s="2" t="s">
        <v>80</v>
      </c>
      <c r="C23" s="10">
        <v>0.0</v>
      </c>
      <c r="D23" s="10">
        <v>0.0</v>
      </c>
      <c r="F23" s="2" t="s">
        <v>80</v>
      </c>
      <c r="G23" s="10">
        <v>0.0</v>
      </c>
      <c r="H23" s="9">
        <f>ROUNDDOWN(G14*0.0006, -1)</f>
        <v>860</v>
      </c>
      <c r="J23" s="2" t="s">
        <v>80</v>
      </c>
      <c r="K23" s="10">
        <v>0.0</v>
      </c>
      <c r="L23" s="9">
        <f>ROUNDDOWN(K14*0.0006, -1)</f>
        <v>330</v>
      </c>
      <c r="N23" s="2" t="s">
        <v>80</v>
      </c>
      <c r="O23" s="10">
        <v>0.0</v>
      </c>
      <c r="P23" s="9">
        <f>ROUNDDOWN(O14*0.0006, -1)</f>
        <v>320</v>
      </c>
    </row>
    <row r="24">
      <c r="B24" s="2" t="s">
        <v>81</v>
      </c>
      <c r="C24" s="10">
        <v>0.0</v>
      </c>
      <c r="D24" s="10">
        <v>0.0</v>
      </c>
      <c r="F24" s="2" t="s">
        <v>81</v>
      </c>
      <c r="G24" s="10">
        <v>0.0</v>
      </c>
      <c r="H24" s="9">
        <f>ROUNDDOWN(G14*0.0006, -1)</f>
        <v>860</v>
      </c>
      <c r="J24" s="2" t="s">
        <v>81</v>
      </c>
      <c r="K24" s="10">
        <v>0.0</v>
      </c>
      <c r="L24" s="9">
        <f>ROUNDDOWN(K14*0.0006, -1)</f>
        <v>330</v>
      </c>
      <c r="N24" s="2" t="s">
        <v>81</v>
      </c>
      <c r="O24" s="10">
        <v>0.0</v>
      </c>
      <c r="P24" s="9">
        <f>ROUNDDOWN(O14*0.0006, -1)</f>
        <v>320</v>
      </c>
    </row>
    <row r="25">
      <c r="B25" s="2" t="s">
        <v>82</v>
      </c>
      <c r="C25" s="10">
        <v>0.0</v>
      </c>
      <c r="D25" s="10">
        <v>0.0</v>
      </c>
      <c r="F25" s="2" t="s">
        <v>82</v>
      </c>
      <c r="G25" s="10">
        <v>0.0</v>
      </c>
      <c r="H25" s="9">
        <f>ROUNDDOWN(G14*0.00003, -1)</f>
        <v>40</v>
      </c>
      <c r="J25" s="2" t="s">
        <v>82</v>
      </c>
      <c r="K25" s="10">
        <v>0.0</v>
      </c>
      <c r="L25" s="9">
        <f>ROUNDDOWN(K14*0.00003, -1)</f>
        <v>10</v>
      </c>
      <c r="N25" s="2" t="s">
        <v>82</v>
      </c>
      <c r="O25" s="10">
        <v>0.0</v>
      </c>
      <c r="P25" s="9">
        <f>ROUNDDOWN(O14*0.00003, -1)</f>
        <v>10</v>
      </c>
    </row>
    <row r="26">
      <c r="C26" s="9"/>
      <c r="D26" s="9"/>
      <c r="G26" s="9"/>
      <c r="H26" s="9"/>
      <c r="K26" s="9"/>
      <c r="L26" s="9"/>
      <c r="O26" s="9"/>
      <c r="P26" s="9"/>
    </row>
    <row r="27">
      <c r="B27" s="2" t="s">
        <v>83</v>
      </c>
      <c r="C27" s="5">
        <v>0.0</v>
      </c>
      <c r="D27" s="10" t="s">
        <v>84</v>
      </c>
      <c r="F27" s="2" t="s">
        <v>83</v>
      </c>
      <c r="G27" s="5">
        <v>7830.0</v>
      </c>
      <c r="H27" s="10" t="s">
        <v>84</v>
      </c>
      <c r="J27" s="16" t="s">
        <v>83</v>
      </c>
      <c r="K27" s="17">
        <v>0.0</v>
      </c>
      <c r="L27" s="10" t="s">
        <v>85</v>
      </c>
      <c r="N27" s="16" t="s">
        <v>83</v>
      </c>
      <c r="O27" s="17">
        <v>0.0</v>
      </c>
      <c r="P27" s="10" t="s">
        <v>85</v>
      </c>
    </row>
    <row r="28">
      <c r="B28" s="2" t="s">
        <v>86</v>
      </c>
      <c r="C28" s="5">
        <v>0.0</v>
      </c>
      <c r="D28" s="3" t="s">
        <v>5</v>
      </c>
      <c r="F28" s="2" t="s">
        <v>86</v>
      </c>
      <c r="G28" s="5">
        <v>780.0</v>
      </c>
      <c r="H28" s="9"/>
      <c r="J28" s="16" t="s">
        <v>86</v>
      </c>
      <c r="K28" s="17">
        <v>0.0</v>
      </c>
      <c r="L28" s="9"/>
      <c r="N28" s="16" t="s">
        <v>86</v>
      </c>
      <c r="O28" s="17">
        <v>0.0</v>
      </c>
      <c r="P28" s="9"/>
    </row>
    <row r="29">
      <c r="B29" s="2" t="s">
        <v>87</v>
      </c>
      <c r="C29" s="10">
        <f>C14*0.033</f>
        <v>57420</v>
      </c>
      <c r="D29" s="1" t="s">
        <v>88</v>
      </c>
    </row>
    <row r="30">
      <c r="D30" s="3" t="s">
        <v>89</v>
      </c>
      <c r="E30" s="3" t="s">
        <v>90</v>
      </c>
    </row>
    <row r="31">
      <c r="B31" s="2" t="s">
        <v>91</v>
      </c>
      <c r="C31" s="9">
        <f>SUM(C17:C29)</f>
        <v>57420</v>
      </c>
      <c r="D31" s="9">
        <f>SUM(D17:D28)</f>
        <v>0</v>
      </c>
      <c r="F31" s="2" t="s">
        <v>91</v>
      </c>
      <c r="G31" s="9">
        <f t="shared" ref="G31:H31" si="1">SUM(G17:G28)</f>
        <v>146720</v>
      </c>
      <c r="H31" s="9">
        <f t="shared" si="1"/>
        <v>149410</v>
      </c>
      <c r="J31" s="2" t="s">
        <v>91</v>
      </c>
      <c r="K31" s="9">
        <f t="shared" ref="K31:L31" si="2">SUM(K17:K28)</f>
        <v>0</v>
      </c>
      <c r="L31" s="9">
        <f t="shared" si="2"/>
        <v>4060</v>
      </c>
      <c r="N31" s="2" t="s">
        <v>91</v>
      </c>
      <c r="O31" s="9">
        <f t="shared" ref="O31:P31" si="3">SUM(O17:O28)</f>
        <v>0</v>
      </c>
      <c r="P31" s="9">
        <f t="shared" si="3"/>
        <v>3920</v>
      </c>
    </row>
    <row r="32">
      <c r="B32" s="2" t="s">
        <v>23</v>
      </c>
      <c r="C32" s="9">
        <f>C14-C31</f>
        <v>1682580</v>
      </c>
      <c r="F32" s="2" t="s">
        <v>23</v>
      </c>
      <c r="G32" s="9">
        <f>G14-G31</f>
        <v>1293280</v>
      </c>
      <c r="J32" s="2" t="s">
        <v>23</v>
      </c>
      <c r="K32" s="9">
        <f>K14-K31</f>
        <v>565000</v>
      </c>
      <c r="N32" s="2" t="s">
        <v>23</v>
      </c>
      <c r="O32" s="9">
        <f>O14-O31</f>
        <v>545000</v>
      </c>
    </row>
    <row r="33">
      <c r="J33" s="2" t="s">
        <v>69</v>
      </c>
      <c r="K33" s="10" t="s">
        <v>92</v>
      </c>
      <c r="N33" s="2" t="s">
        <v>69</v>
      </c>
      <c r="O33" s="10" t="s">
        <v>92</v>
      </c>
    </row>
  </sheetData>
  <hyperlinks>
    <hyperlink r:id="rId1" ref="H1"/>
    <hyperlink r:id="rId2" ref="H2"/>
    <hyperlink r:id="rId3" ref="H3"/>
    <hyperlink r:id="rId4" ref="H4"/>
    <hyperlink r:id="rId5" ref="H5"/>
    <hyperlink r:id="rId6" ref="H6"/>
    <hyperlink r:id="rId7" ref="D28"/>
    <hyperlink r:id="rId8" ref="D29"/>
    <hyperlink r:id="rId9" ref="D30"/>
    <hyperlink r:id="rId10" ref="E30"/>
  </hyperlinks>
  <drawing r:id="rId1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H1" s="1" t="s">
        <v>0</v>
      </c>
    </row>
    <row r="2">
      <c r="H2" s="1" t="s">
        <v>1</v>
      </c>
    </row>
    <row r="3">
      <c r="G3" s="2" t="s">
        <v>2</v>
      </c>
      <c r="H3" s="1" t="s">
        <v>93</v>
      </c>
    </row>
    <row r="4">
      <c r="G4" s="2" t="s">
        <v>4</v>
      </c>
      <c r="H4" s="3" t="s">
        <v>5</v>
      </c>
    </row>
    <row r="5">
      <c r="G5" s="2" t="s">
        <v>6</v>
      </c>
      <c r="H5" s="3" t="s">
        <v>7</v>
      </c>
    </row>
    <row r="6">
      <c r="G6" s="2" t="s">
        <v>8</v>
      </c>
      <c r="H6" s="3" t="s">
        <v>9</v>
      </c>
    </row>
    <row r="11">
      <c r="B11" s="2" t="s">
        <v>13</v>
      </c>
      <c r="C11" s="2" t="s">
        <v>47</v>
      </c>
      <c r="F11" s="2" t="s">
        <v>13</v>
      </c>
      <c r="G11" s="2" t="s">
        <v>15</v>
      </c>
      <c r="J11" s="2" t="s">
        <v>13</v>
      </c>
      <c r="K11" s="2" t="s">
        <v>32</v>
      </c>
      <c r="N11" s="2" t="s">
        <v>13</v>
      </c>
      <c r="O11" s="2" t="s">
        <v>65</v>
      </c>
    </row>
    <row r="12">
      <c r="B12" s="2" t="s">
        <v>19</v>
      </c>
      <c r="C12" s="5">
        <v>10000.0</v>
      </c>
      <c r="F12" s="2" t="s">
        <v>19</v>
      </c>
      <c r="G12" s="5">
        <v>10000.0</v>
      </c>
      <c r="J12" s="2" t="s">
        <v>19</v>
      </c>
      <c r="K12" s="5">
        <v>10000.0</v>
      </c>
      <c r="N12" s="2" t="s">
        <v>19</v>
      </c>
      <c r="O12" s="5">
        <v>10000.0</v>
      </c>
    </row>
    <row r="13">
      <c r="B13" s="2" t="s">
        <v>20</v>
      </c>
      <c r="C13" s="6">
        <v>159.5</v>
      </c>
      <c r="F13" s="2" t="s">
        <v>20</v>
      </c>
      <c r="G13" s="6">
        <v>150.0</v>
      </c>
      <c r="J13" s="2" t="s">
        <v>20</v>
      </c>
      <c r="K13" s="6">
        <v>51.5</v>
      </c>
      <c r="N13" s="2" t="s">
        <v>20</v>
      </c>
      <c r="O13" s="6">
        <v>50.5</v>
      </c>
    </row>
    <row r="14">
      <c r="B14" s="2" t="s">
        <v>21</v>
      </c>
      <c r="C14" s="9">
        <f>C12*C13</f>
        <v>1595000</v>
      </c>
      <c r="F14" s="2" t="s">
        <v>21</v>
      </c>
      <c r="G14" s="9">
        <f>G12*G13</f>
        <v>1500000</v>
      </c>
      <c r="J14" s="2" t="s">
        <v>21</v>
      </c>
      <c r="K14" s="9">
        <f>K12*K13</f>
        <v>515000</v>
      </c>
      <c r="N14" s="2" t="s">
        <v>21</v>
      </c>
      <c r="O14" s="9">
        <f>O12*O13</f>
        <v>505000</v>
      </c>
    </row>
    <row r="16">
      <c r="C16" s="2" t="s">
        <v>72</v>
      </c>
      <c r="D16" s="2" t="s">
        <v>73</v>
      </c>
      <c r="G16" s="2" t="s">
        <v>72</v>
      </c>
      <c r="H16" s="2" t="s">
        <v>73</v>
      </c>
      <c r="K16" s="2" t="s">
        <v>72</v>
      </c>
      <c r="L16" s="2" t="s">
        <v>73</v>
      </c>
      <c r="O16" s="2" t="s">
        <v>72</v>
      </c>
      <c r="P16" s="2" t="s">
        <v>73</v>
      </c>
    </row>
    <row r="17">
      <c r="B17" s="13" t="s">
        <v>74</v>
      </c>
      <c r="C17" s="9">
        <f t="shared" ref="C17:D17" si="1">ROUNDDOWN($C$14*0.045, -1)</f>
        <v>71770</v>
      </c>
      <c r="D17" s="9">
        <f t="shared" si="1"/>
        <v>71770</v>
      </c>
      <c r="F17" s="13" t="s">
        <v>74</v>
      </c>
      <c r="G17" s="9">
        <f>ROUNDDOWN(G14*0.045, -1)</f>
        <v>67500</v>
      </c>
      <c r="H17" s="9">
        <f>ROUNDDOWN(G14*0.045, -1)</f>
        <v>67500</v>
      </c>
      <c r="J17" s="14" t="s">
        <v>74</v>
      </c>
      <c r="K17" s="15">
        <v>0.0</v>
      </c>
      <c r="L17" s="15">
        <v>0.0</v>
      </c>
      <c r="N17" s="14" t="s">
        <v>74</v>
      </c>
      <c r="O17" s="15">
        <v>0.0</v>
      </c>
      <c r="P17" s="15">
        <v>0.0</v>
      </c>
    </row>
    <row r="18">
      <c r="B18" s="13" t="s">
        <v>75</v>
      </c>
      <c r="C18" s="9">
        <f t="shared" ref="C18:D18" si="2">ROUNDDOWN($C$14*0.03545, -1)</f>
        <v>56540</v>
      </c>
      <c r="D18" s="9">
        <f t="shared" si="2"/>
        <v>56540</v>
      </c>
      <c r="F18" s="13" t="s">
        <v>75</v>
      </c>
      <c r="G18" s="9">
        <f>ROUNDDOWN(G14*0.03545, -1)</f>
        <v>53170</v>
      </c>
      <c r="H18" s="9">
        <f>ROUNDDOWN(G14*0.03545, -1)</f>
        <v>53170</v>
      </c>
      <c r="J18" s="14" t="s">
        <v>75</v>
      </c>
      <c r="K18" s="15">
        <v>0.0</v>
      </c>
      <c r="L18" s="15">
        <v>0.0</v>
      </c>
      <c r="N18" s="14" t="s">
        <v>75</v>
      </c>
      <c r="O18" s="15">
        <v>0.0</v>
      </c>
      <c r="P18" s="15">
        <v>0.0</v>
      </c>
    </row>
    <row r="19">
      <c r="B19" s="2" t="s">
        <v>76</v>
      </c>
      <c r="C19" s="9">
        <f t="shared" ref="C19:D19" si="3">ROUNDDOWN($C$14*0.004591, -1)</f>
        <v>7320</v>
      </c>
      <c r="D19" s="9">
        <f t="shared" si="3"/>
        <v>7320</v>
      </c>
      <c r="F19" s="2" t="s">
        <v>76</v>
      </c>
      <c r="G19" s="9">
        <f>ROUNDDOWN(G14*0.004591, -1)</f>
        <v>6880</v>
      </c>
      <c r="H19" s="9">
        <f>ROUNDDOWN(G14*0.004591, -1)</f>
        <v>6880</v>
      </c>
      <c r="J19" s="16" t="s">
        <v>76</v>
      </c>
      <c r="K19" s="15">
        <v>0.0</v>
      </c>
      <c r="L19" s="15">
        <v>0.0</v>
      </c>
      <c r="N19" s="16" t="s">
        <v>76</v>
      </c>
      <c r="O19" s="15">
        <v>0.0</v>
      </c>
      <c r="P19" s="15">
        <v>0.0</v>
      </c>
    </row>
    <row r="20">
      <c r="B20" s="13" t="s">
        <v>77</v>
      </c>
      <c r="C20" s="9">
        <f t="shared" ref="C20:D20" si="4">ROUNDDOWN($C$14*0.009, -1)</f>
        <v>14350</v>
      </c>
      <c r="D20" s="9">
        <f t="shared" si="4"/>
        <v>14350</v>
      </c>
      <c r="F20" s="13" t="s">
        <v>77</v>
      </c>
      <c r="G20" s="9">
        <f>ROUNDDOWN(C14*0.009, -1)</f>
        <v>14350</v>
      </c>
      <c r="H20" s="9">
        <f>ROUNDDOWN(G14*0.009, -1)</f>
        <v>13500</v>
      </c>
      <c r="J20" s="14" t="s">
        <v>77</v>
      </c>
      <c r="K20" s="15">
        <v>0.0</v>
      </c>
      <c r="L20" s="15">
        <v>0.0</v>
      </c>
      <c r="N20" s="14" t="s">
        <v>77</v>
      </c>
      <c r="O20" s="15">
        <v>0.0</v>
      </c>
      <c r="P20" s="15">
        <v>0.0</v>
      </c>
    </row>
    <row r="21">
      <c r="B21" s="2" t="s">
        <v>78</v>
      </c>
      <c r="C21" s="10">
        <v>0.0</v>
      </c>
      <c r="D21" s="9">
        <f>ROUNDDOWN($C$14*0.0025, -1)</f>
        <v>3980</v>
      </c>
      <c r="F21" s="2" t="s">
        <v>78</v>
      </c>
      <c r="G21" s="10">
        <v>0.0</v>
      </c>
      <c r="H21" s="9">
        <f>ROUNDDOWN(G14*0.0025, -1)</f>
        <v>3750</v>
      </c>
      <c r="J21" s="16" t="s">
        <v>78</v>
      </c>
      <c r="K21" s="15">
        <v>0.0</v>
      </c>
      <c r="L21" s="15">
        <v>0.0</v>
      </c>
      <c r="N21" s="16" t="s">
        <v>78</v>
      </c>
      <c r="O21" s="15">
        <v>0.0</v>
      </c>
      <c r="P21" s="15">
        <v>0.0</v>
      </c>
    </row>
    <row r="22">
      <c r="B22" s="13" t="s">
        <v>79</v>
      </c>
      <c r="C22" s="10">
        <v>0.0</v>
      </c>
      <c r="D22" s="9">
        <f>ROUNDDOWN($C$14*0.006, -1)</f>
        <v>9570</v>
      </c>
      <c r="F22" s="13" t="s">
        <v>79</v>
      </c>
      <c r="G22" s="10">
        <v>0.0</v>
      </c>
      <c r="H22" s="9">
        <f>ROUNDDOWN(G14*0.006, -1)</f>
        <v>9000</v>
      </c>
      <c r="J22" s="13" t="s">
        <v>79</v>
      </c>
      <c r="K22" s="10">
        <v>0.0</v>
      </c>
      <c r="L22" s="9">
        <f>ROUNDDOWN(K14*0.006, -1)</f>
        <v>3090</v>
      </c>
      <c r="N22" s="13" t="s">
        <v>79</v>
      </c>
      <c r="O22" s="10">
        <v>0.0</v>
      </c>
      <c r="P22" s="9">
        <f>ROUNDDOWN(O14*0.006, -1)</f>
        <v>3030</v>
      </c>
    </row>
    <row r="23">
      <c r="B23" s="2" t="s">
        <v>80</v>
      </c>
      <c r="C23" s="10">
        <v>0.0</v>
      </c>
      <c r="D23" s="9">
        <f t="shared" ref="D23:D24" si="5">ROUNDDOWN($C$14*0.0006, -1)</f>
        <v>950</v>
      </c>
      <c r="F23" s="2" t="s">
        <v>80</v>
      </c>
      <c r="G23" s="10">
        <v>0.0</v>
      </c>
      <c r="H23" s="9">
        <f>ROUNDDOWN(G14*0.0006, -1)</f>
        <v>900</v>
      </c>
      <c r="J23" s="2" t="s">
        <v>80</v>
      </c>
      <c r="K23" s="10">
        <v>0.0</v>
      </c>
      <c r="L23" s="9">
        <f>ROUNDDOWN(K14*0.0006, -1)</f>
        <v>300</v>
      </c>
      <c r="N23" s="2" t="s">
        <v>80</v>
      </c>
      <c r="O23" s="10">
        <v>0.0</v>
      </c>
      <c r="P23" s="9">
        <f>ROUNDDOWN(O14*0.0006, -1)</f>
        <v>300</v>
      </c>
    </row>
    <row r="24">
      <c r="B24" s="2" t="s">
        <v>81</v>
      </c>
      <c r="C24" s="10">
        <v>0.0</v>
      </c>
      <c r="D24" s="9">
        <f t="shared" si="5"/>
        <v>950</v>
      </c>
      <c r="F24" s="2" t="s">
        <v>81</v>
      </c>
      <c r="G24" s="10">
        <v>0.0</v>
      </c>
      <c r="H24" s="9">
        <f>ROUNDDOWN(G14*0.0006, -1)</f>
        <v>900</v>
      </c>
      <c r="J24" s="2" t="s">
        <v>81</v>
      </c>
      <c r="K24" s="10">
        <v>0.0</v>
      </c>
      <c r="L24" s="9">
        <f>ROUNDDOWN(K14*0.0006, -1)</f>
        <v>300</v>
      </c>
      <c r="N24" s="2" t="s">
        <v>81</v>
      </c>
      <c r="O24" s="10">
        <v>0.0</v>
      </c>
      <c r="P24" s="9">
        <f>ROUNDDOWN(O14*0.0006, -1)</f>
        <v>300</v>
      </c>
    </row>
    <row r="25">
      <c r="B25" s="2" t="s">
        <v>82</v>
      </c>
      <c r="C25" s="10">
        <v>0.0</v>
      </c>
      <c r="D25" s="9">
        <f>ROUNDDOWN($C$14*0.00003, -1)</f>
        <v>40</v>
      </c>
      <c r="F25" s="2" t="s">
        <v>82</v>
      </c>
      <c r="G25" s="10">
        <v>0.0</v>
      </c>
      <c r="H25" s="9">
        <f>ROUNDDOWN(G14*0.00003, -1)</f>
        <v>40</v>
      </c>
      <c r="J25" s="2" t="s">
        <v>82</v>
      </c>
      <c r="K25" s="10">
        <v>0.0</v>
      </c>
      <c r="L25" s="9">
        <f>ROUNDDOWN(K14*0.00003, -1)</f>
        <v>10</v>
      </c>
      <c r="N25" s="2" t="s">
        <v>82</v>
      </c>
      <c r="O25" s="10">
        <v>0.0</v>
      </c>
      <c r="P25" s="9">
        <f>ROUNDDOWN(O14*0.00003, -1)</f>
        <v>10</v>
      </c>
    </row>
    <row r="26">
      <c r="C26" s="9"/>
      <c r="D26" s="9"/>
      <c r="G26" s="9"/>
      <c r="H26" s="9"/>
      <c r="K26" s="9"/>
      <c r="L26" s="9"/>
      <c r="O26" s="9"/>
      <c r="P26" s="9"/>
    </row>
    <row r="27">
      <c r="B27" s="2" t="s">
        <v>83</v>
      </c>
      <c r="C27" s="5">
        <v>5250.0</v>
      </c>
      <c r="D27" s="10" t="s">
        <v>84</v>
      </c>
      <c r="F27" s="2" t="s">
        <v>83</v>
      </c>
      <c r="G27" s="5">
        <v>7830.0</v>
      </c>
      <c r="H27" s="10" t="s">
        <v>84</v>
      </c>
      <c r="J27" s="16" t="s">
        <v>83</v>
      </c>
      <c r="K27" s="17">
        <v>0.0</v>
      </c>
      <c r="L27" s="10" t="s">
        <v>85</v>
      </c>
      <c r="N27" s="16" t="s">
        <v>83</v>
      </c>
      <c r="O27" s="17">
        <v>0.0</v>
      </c>
      <c r="P27" s="10" t="s">
        <v>85</v>
      </c>
    </row>
    <row r="28">
      <c r="B28" s="2" t="s">
        <v>86</v>
      </c>
      <c r="C28" s="5">
        <v>520.0</v>
      </c>
      <c r="D28" s="3" t="s">
        <v>5</v>
      </c>
      <c r="F28" s="2" t="s">
        <v>86</v>
      </c>
      <c r="G28" s="5">
        <v>780.0</v>
      </c>
      <c r="H28" s="9"/>
      <c r="J28" s="16" t="s">
        <v>86</v>
      </c>
      <c r="K28" s="17">
        <v>0.0</v>
      </c>
      <c r="L28" s="9"/>
      <c r="N28" s="16" t="s">
        <v>86</v>
      </c>
      <c r="O28" s="17">
        <v>0.0</v>
      </c>
      <c r="P28" s="9"/>
    </row>
    <row r="29">
      <c r="D29" s="1" t="s">
        <v>88</v>
      </c>
    </row>
    <row r="30">
      <c r="D30" s="3" t="s">
        <v>89</v>
      </c>
      <c r="E30" s="3" t="s">
        <v>90</v>
      </c>
    </row>
    <row r="31">
      <c r="B31" s="2" t="s">
        <v>91</v>
      </c>
      <c r="C31" s="9">
        <f t="shared" ref="C31:D31" si="6">SUM(C17:C28)</f>
        <v>155750</v>
      </c>
      <c r="D31" s="9">
        <f t="shared" si="6"/>
        <v>165470</v>
      </c>
      <c r="F31" s="2" t="s">
        <v>91</v>
      </c>
      <c r="G31" s="9">
        <f t="shared" ref="G31:H31" si="7">SUM(G17:G28)</f>
        <v>150510</v>
      </c>
      <c r="H31" s="9">
        <f t="shared" si="7"/>
        <v>155640</v>
      </c>
      <c r="J31" s="2" t="s">
        <v>91</v>
      </c>
      <c r="K31" s="9">
        <f t="shared" ref="K31:L31" si="8">SUM(K17:K28)</f>
        <v>0</v>
      </c>
      <c r="L31" s="9">
        <f t="shared" si="8"/>
        <v>3700</v>
      </c>
      <c r="N31" s="2" t="s">
        <v>91</v>
      </c>
      <c r="O31" s="9">
        <f t="shared" ref="O31:P31" si="9">SUM(O17:O28)</f>
        <v>0</v>
      </c>
      <c r="P31" s="9">
        <f t="shared" si="9"/>
        <v>3640</v>
      </c>
    </row>
    <row r="32">
      <c r="B32" s="2" t="s">
        <v>23</v>
      </c>
      <c r="C32" s="9">
        <f>C14-C31</f>
        <v>1439250</v>
      </c>
      <c r="F32" s="2" t="s">
        <v>23</v>
      </c>
      <c r="G32" s="9">
        <f>G14-G31</f>
        <v>1349490</v>
      </c>
      <c r="J32" s="2" t="s">
        <v>23</v>
      </c>
      <c r="K32" s="9">
        <f>K14-K31</f>
        <v>515000</v>
      </c>
      <c r="N32" s="2" t="s">
        <v>23</v>
      </c>
      <c r="O32" s="9">
        <f>O14-O31</f>
        <v>505000</v>
      </c>
    </row>
    <row r="33">
      <c r="J33" s="2" t="s">
        <v>69</v>
      </c>
      <c r="K33" s="10" t="s">
        <v>92</v>
      </c>
      <c r="N33" s="2" t="s">
        <v>69</v>
      </c>
      <c r="O33" s="10" t="s">
        <v>92</v>
      </c>
    </row>
  </sheetData>
  <hyperlinks>
    <hyperlink r:id="rId1" ref="H1"/>
    <hyperlink r:id="rId2" ref="H2"/>
    <hyperlink r:id="rId3" ref="H3"/>
    <hyperlink r:id="rId4" ref="H4"/>
    <hyperlink r:id="rId5" ref="H5"/>
    <hyperlink r:id="rId6" ref="H6"/>
    <hyperlink r:id="rId7" ref="D28"/>
    <hyperlink r:id="rId8" ref="D29"/>
    <hyperlink r:id="rId9" ref="D30"/>
    <hyperlink r:id="rId10" ref="E30"/>
  </hyperlinks>
  <drawing r:id="rId1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H1" s="1" t="s">
        <v>0</v>
      </c>
    </row>
    <row r="2">
      <c r="H2" s="1" t="s">
        <v>1</v>
      </c>
    </row>
    <row r="3">
      <c r="G3" s="2" t="s">
        <v>2</v>
      </c>
      <c r="H3" s="1" t="s">
        <v>94</v>
      </c>
    </row>
    <row r="4">
      <c r="G4" s="2" t="s">
        <v>4</v>
      </c>
      <c r="H4" s="3" t="s">
        <v>5</v>
      </c>
    </row>
    <row r="5">
      <c r="G5" s="2" t="s">
        <v>6</v>
      </c>
      <c r="H5" s="3" t="s">
        <v>7</v>
      </c>
    </row>
    <row r="6">
      <c r="G6" s="2" t="s">
        <v>8</v>
      </c>
      <c r="H6" s="3" t="s">
        <v>9</v>
      </c>
    </row>
    <row r="11">
      <c r="B11" s="2" t="s">
        <v>13</v>
      </c>
      <c r="C11" s="2" t="s">
        <v>47</v>
      </c>
      <c r="F11" s="2" t="s">
        <v>13</v>
      </c>
      <c r="G11" s="2" t="s">
        <v>15</v>
      </c>
      <c r="J11" s="2" t="s">
        <v>13</v>
      </c>
      <c r="K11" s="2" t="s">
        <v>32</v>
      </c>
      <c r="N11" s="2" t="s">
        <v>13</v>
      </c>
      <c r="O11" s="2" t="s">
        <v>65</v>
      </c>
    </row>
    <row r="12">
      <c r="B12" s="2" t="s">
        <v>19</v>
      </c>
      <c r="C12" s="5">
        <v>10000.0</v>
      </c>
      <c r="F12" s="2" t="s">
        <v>19</v>
      </c>
      <c r="G12" s="5">
        <v>10000.0</v>
      </c>
      <c r="J12" s="2" t="s">
        <v>19</v>
      </c>
      <c r="K12" s="5">
        <v>10000.0</v>
      </c>
      <c r="N12" s="2" t="s">
        <v>19</v>
      </c>
      <c r="O12" s="5">
        <v>10000.0</v>
      </c>
    </row>
    <row r="13">
      <c r="B13" s="2" t="s">
        <v>20</v>
      </c>
      <c r="C13" s="6">
        <v>132.5</v>
      </c>
      <c r="F13" s="2" t="s">
        <v>20</v>
      </c>
      <c r="G13" s="6">
        <v>145.0</v>
      </c>
      <c r="J13" s="2" t="s">
        <v>20</v>
      </c>
      <c r="K13" s="6">
        <v>54.5</v>
      </c>
      <c r="N13" s="2" t="s">
        <v>20</v>
      </c>
      <c r="O13" s="6">
        <v>61.0</v>
      </c>
    </row>
    <row r="14">
      <c r="B14" s="2" t="s">
        <v>21</v>
      </c>
      <c r="C14" s="9">
        <f>C12*C13</f>
        <v>1325000</v>
      </c>
      <c r="F14" s="2" t="s">
        <v>21</v>
      </c>
      <c r="G14" s="9">
        <f>G12*G13</f>
        <v>1450000</v>
      </c>
      <c r="J14" s="2" t="s">
        <v>21</v>
      </c>
      <c r="K14" s="9">
        <f>K12*K13</f>
        <v>545000</v>
      </c>
      <c r="N14" s="2" t="s">
        <v>21</v>
      </c>
      <c r="O14" s="9">
        <f>O12*O13</f>
        <v>610000</v>
      </c>
    </row>
    <row r="16">
      <c r="C16" s="2" t="s">
        <v>72</v>
      </c>
      <c r="D16" s="2" t="s">
        <v>73</v>
      </c>
      <c r="G16" s="2" t="s">
        <v>72</v>
      </c>
      <c r="H16" s="2" t="s">
        <v>73</v>
      </c>
      <c r="K16" s="2" t="s">
        <v>72</v>
      </c>
      <c r="L16" s="2" t="s">
        <v>73</v>
      </c>
      <c r="O16" s="2" t="s">
        <v>72</v>
      </c>
      <c r="P16" s="2" t="s">
        <v>73</v>
      </c>
    </row>
    <row r="17">
      <c r="B17" s="13" t="s">
        <v>74</v>
      </c>
      <c r="C17" s="9">
        <f t="shared" ref="C17:D17" si="1">ROUNDDOWN($C$14*0.045, -1)</f>
        <v>59620</v>
      </c>
      <c r="D17" s="9">
        <f t="shared" si="1"/>
        <v>59620</v>
      </c>
      <c r="F17" s="13" t="s">
        <v>74</v>
      </c>
      <c r="G17" s="9">
        <f>ROUNDDOWN(G14*0.045, -1)</f>
        <v>65250</v>
      </c>
      <c r="H17" s="9">
        <f>ROUNDDOWN(G14*0.045, -1)</f>
        <v>65250</v>
      </c>
      <c r="J17" s="14" t="s">
        <v>74</v>
      </c>
      <c r="K17" s="15">
        <v>0.0</v>
      </c>
      <c r="L17" s="15">
        <v>0.0</v>
      </c>
      <c r="N17" s="14" t="s">
        <v>74</v>
      </c>
      <c r="O17" s="15">
        <v>0.0</v>
      </c>
      <c r="P17" s="15">
        <v>0.0</v>
      </c>
    </row>
    <row r="18">
      <c r="B18" s="13" t="s">
        <v>75</v>
      </c>
      <c r="C18" s="9">
        <f t="shared" ref="C18:D18" si="2">ROUNDDOWN($C$14*0.03545, -1)</f>
        <v>46970</v>
      </c>
      <c r="D18" s="9">
        <f t="shared" si="2"/>
        <v>46970</v>
      </c>
      <c r="F18" s="13" t="s">
        <v>75</v>
      </c>
      <c r="G18" s="9">
        <f>ROUNDDOWN(G14*0.03545, -1)</f>
        <v>51400</v>
      </c>
      <c r="H18" s="9">
        <f>ROUNDDOWN(G14*0.03545, -1)</f>
        <v>51400</v>
      </c>
      <c r="J18" s="14" t="s">
        <v>75</v>
      </c>
      <c r="K18" s="15">
        <v>0.0</v>
      </c>
      <c r="L18" s="15">
        <v>0.0</v>
      </c>
      <c r="N18" s="14" t="s">
        <v>75</v>
      </c>
      <c r="O18" s="15">
        <v>0.0</v>
      </c>
      <c r="P18" s="15">
        <v>0.0</v>
      </c>
    </row>
    <row r="19">
      <c r="B19" s="2" t="s">
        <v>76</v>
      </c>
      <c r="C19" s="9">
        <f t="shared" ref="C19:D19" si="3">ROUNDDOWN($C$14*0.004591, -1)</f>
        <v>6080</v>
      </c>
      <c r="D19" s="9">
        <f t="shared" si="3"/>
        <v>6080</v>
      </c>
      <c r="F19" s="2" t="s">
        <v>76</v>
      </c>
      <c r="G19" s="9">
        <f>ROUNDDOWN(G14*0.004591, -1)</f>
        <v>6650</v>
      </c>
      <c r="H19" s="9">
        <f>ROUNDDOWN(G14*0.004591, -1)</f>
        <v>6650</v>
      </c>
      <c r="J19" s="16" t="s">
        <v>76</v>
      </c>
      <c r="K19" s="15">
        <v>0.0</v>
      </c>
      <c r="L19" s="15">
        <v>0.0</v>
      </c>
      <c r="N19" s="16" t="s">
        <v>76</v>
      </c>
      <c r="O19" s="15">
        <v>0.0</v>
      </c>
      <c r="P19" s="15">
        <v>0.0</v>
      </c>
    </row>
    <row r="20">
      <c r="B20" s="13" t="s">
        <v>77</v>
      </c>
      <c r="C20" s="9">
        <f t="shared" ref="C20:D20" si="4">ROUNDDOWN($C$14*0.009, -1)</f>
        <v>11920</v>
      </c>
      <c r="D20" s="9">
        <f t="shared" si="4"/>
        <v>11920</v>
      </c>
      <c r="F20" s="13" t="s">
        <v>77</v>
      </c>
      <c r="G20" s="9">
        <f>ROUNDDOWN(C14*0.009, -1)</f>
        <v>11920</v>
      </c>
      <c r="H20" s="9">
        <f>ROUNDDOWN(G14*0.009, -1)</f>
        <v>13050</v>
      </c>
      <c r="J20" s="14" t="s">
        <v>77</v>
      </c>
      <c r="K20" s="15">
        <v>0.0</v>
      </c>
      <c r="L20" s="15">
        <v>0.0</v>
      </c>
      <c r="N20" s="14" t="s">
        <v>77</v>
      </c>
      <c r="O20" s="15">
        <v>0.0</v>
      </c>
      <c r="P20" s="15">
        <v>0.0</v>
      </c>
    </row>
    <row r="21">
      <c r="B21" s="2" t="s">
        <v>78</v>
      </c>
      <c r="C21" s="10">
        <v>0.0</v>
      </c>
      <c r="D21" s="9">
        <f>ROUNDDOWN($C$14*0.0025, -1)</f>
        <v>3310</v>
      </c>
      <c r="F21" s="2" t="s">
        <v>78</v>
      </c>
      <c r="G21" s="10">
        <v>0.0</v>
      </c>
      <c r="H21" s="9">
        <f>ROUNDDOWN(G14*0.0025, -1)</f>
        <v>3620</v>
      </c>
      <c r="J21" s="16" t="s">
        <v>78</v>
      </c>
      <c r="K21" s="15">
        <v>0.0</v>
      </c>
      <c r="L21" s="15">
        <v>0.0</v>
      </c>
      <c r="N21" s="16" t="s">
        <v>78</v>
      </c>
      <c r="O21" s="15">
        <v>0.0</v>
      </c>
      <c r="P21" s="15">
        <v>0.0</v>
      </c>
    </row>
    <row r="22">
      <c r="B22" s="13" t="s">
        <v>79</v>
      </c>
      <c r="C22" s="10">
        <v>0.0</v>
      </c>
      <c r="D22" s="9">
        <f>ROUNDDOWN($C$14*0.006, -1)</f>
        <v>7950</v>
      </c>
      <c r="F22" s="13" t="s">
        <v>79</v>
      </c>
      <c r="G22" s="10">
        <v>0.0</v>
      </c>
      <c r="H22" s="9">
        <f>ROUNDDOWN(G14*0.006, -1)</f>
        <v>8700</v>
      </c>
      <c r="J22" s="13" t="s">
        <v>79</v>
      </c>
      <c r="K22" s="10">
        <v>0.0</v>
      </c>
      <c r="L22" s="9">
        <f>ROUNDDOWN(K14*0.006, -1)</f>
        <v>3270</v>
      </c>
      <c r="N22" s="13" t="s">
        <v>79</v>
      </c>
      <c r="O22" s="10">
        <v>0.0</v>
      </c>
      <c r="P22" s="9">
        <f>ROUNDDOWN(O14*0.006, -1)</f>
        <v>3660</v>
      </c>
    </row>
    <row r="23">
      <c r="B23" s="2" t="s">
        <v>80</v>
      </c>
      <c r="C23" s="10">
        <v>0.0</v>
      </c>
      <c r="D23" s="9">
        <f t="shared" ref="D23:D24" si="5">ROUNDDOWN($C$14*0.0006, -1)</f>
        <v>790</v>
      </c>
      <c r="F23" s="2" t="s">
        <v>80</v>
      </c>
      <c r="G23" s="10">
        <v>0.0</v>
      </c>
      <c r="H23" s="9">
        <f>ROUNDDOWN(G14*0.0006, -1)</f>
        <v>870</v>
      </c>
      <c r="J23" s="2" t="s">
        <v>80</v>
      </c>
      <c r="K23" s="10">
        <v>0.0</v>
      </c>
      <c r="L23" s="9">
        <f>ROUNDDOWN(K14*0.0006, -1)</f>
        <v>320</v>
      </c>
      <c r="N23" s="2" t="s">
        <v>80</v>
      </c>
      <c r="O23" s="10">
        <v>0.0</v>
      </c>
      <c r="P23" s="9">
        <f>ROUNDDOWN(O14*0.0006, -1)</f>
        <v>360</v>
      </c>
    </row>
    <row r="24">
      <c r="B24" s="2" t="s">
        <v>81</v>
      </c>
      <c r="C24" s="10">
        <v>0.0</v>
      </c>
      <c r="D24" s="9">
        <f t="shared" si="5"/>
        <v>790</v>
      </c>
      <c r="F24" s="2" t="s">
        <v>81</v>
      </c>
      <c r="G24" s="10">
        <v>0.0</v>
      </c>
      <c r="H24" s="9">
        <f>ROUNDDOWN(G14*0.0006, -1)</f>
        <v>870</v>
      </c>
      <c r="J24" s="2" t="s">
        <v>81</v>
      </c>
      <c r="K24" s="10">
        <v>0.0</v>
      </c>
      <c r="L24" s="9">
        <f>ROUNDDOWN(K14*0.0006, -1)</f>
        <v>320</v>
      </c>
      <c r="N24" s="2" t="s">
        <v>81</v>
      </c>
      <c r="O24" s="10">
        <v>0.0</v>
      </c>
      <c r="P24" s="9">
        <f>ROUNDDOWN(O14*0.0006, -1)</f>
        <v>360</v>
      </c>
    </row>
    <row r="25">
      <c r="B25" s="2" t="s">
        <v>82</v>
      </c>
      <c r="C25" s="10">
        <v>0.0</v>
      </c>
      <c r="D25" s="9">
        <f>ROUNDDOWN($C$14*0.00003, -1)</f>
        <v>30</v>
      </c>
      <c r="F25" s="2" t="s">
        <v>82</v>
      </c>
      <c r="G25" s="10">
        <v>0.0</v>
      </c>
      <c r="H25" s="9">
        <f>ROUNDDOWN(G14*0.00003, -1)</f>
        <v>40</v>
      </c>
      <c r="J25" s="2" t="s">
        <v>82</v>
      </c>
      <c r="K25" s="10">
        <v>0.0</v>
      </c>
      <c r="L25" s="9">
        <f>ROUNDDOWN(K14*0.00003, -1)</f>
        <v>10</v>
      </c>
      <c r="N25" s="2" t="s">
        <v>82</v>
      </c>
      <c r="O25" s="10">
        <v>0.0</v>
      </c>
      <c r="P25" s="9">
        <f>ROUNDDOWN(O14*0.00003, -1)</f>
        <v>10</v>
      </c>
    </row>
    <row r="26">
      <c r="C26" s="9"/>
      <c r="D26" s="9"/>
      <c r="G26" s="9"/>
      <c r="H26" s="9"/>
      <c r="K26" s="9"/>
      <c r="L26" s="9"/>
      <c r="O26" s="9"/>
      <c r="P26" s="9"/>
    </row>
    <row r="27">
      <c r="B27" s="2" t="s">
        <v>83</v>
      </c>
      <c r="C27" s="5">
        <v>5250.0</v>
      </c>
      <c r="D27" s="10" t="s">
        <v>84</v>
      </c>
      <c r="F27" s="2" t="s">
        <v>83</v>
      </c>
      <c r="G27" s="5">
        <v>7830.0</v>
      </c>
      <c r="H27" s="10" t="s">
        <v>84</v>
      </c>
      <c r="J27" s="16" t="s">
        <v>83</v>
      </c>
      <c r="K27" s="17">
        <v>0.0</v>
      </c>
      <c r="L27" s="10" t="s">
        <v>85</v>
      </c>
      <c r="N27" s="16" t="s">
        <v>83</v>
      </c>
      <c r="O27" s="17">
        <v>0.0</v>
      </c>
      <c r="P27" s="10" t="s">
        <v>85</v>
      </c>
    </row>
    <row r="28">
      <c r="B28" s="2" t="s">
        <v>86</v>
      </c>
      <c r="C28" s="5">
        <v>520.0</v>
      </c>
      <c r="D28" s="3" t="s">
        <v>5</v>
      </c>
      <c r="F28" s="2" t="s">
        <v>86</v>
      </c>
      <c r="G28" s="5">
        <v>780.0</v>
      </c>
      <c r="H28" s="9"/>
      <c r="J28" s="16" t="s">
        <v>86</v>
      </c>
      <c r="K28" s="17">
        <v>0.0</v>
      </c>
      <c r="L28" s="9"/>
      <c r="N28" s="16" t="s">
        <v>86</v>
      </c>
      <c r="O28" s="17">
        <v>0.0</v>
      </c>
      <c r="P28" s="9"/>
    </row>
    <row r="29">
      <c r="D29" s="1" t="s">
        <v>88</v>
      </c>
    </row>
    <row r="30">
      <c r="D30" s="3" t="s">
        <v>89</v>
      </c>
      <c r="E30" s="3" t="s">
        <v>90</v>
      </c>
    </row>
    <row r="31">
      <c r="B31" s="2" t="s">
        <v>91</v>
      </c>
      <c r="C31" s="9">
        <f t="shared" ref="C31:D31" si="6">SUM(C17:C28)</f>
        <v>130360</v>
      </c>
      <c r="D31" s="9">
        <f t="shared" si="6"/>
        <v>137460</v>
      </c>
      <c r="F31" s="2" t="s">
        <v>91</v>
      </c>
      <c r="G31" s="9">
        <f t="shared" ref="G31:H31" si="7">SUM(G17:G28)</f>
        <v>143830</v>
      </c>
      <c r="H31" s="9">
        <f t="shared" si="7"/>
        <v>150450</v>
      </c>
      <c r="J31" s="2" t="s">
        <v>91</v>
      </c>
      <c r="K31" s="9">
        <f t="shared" ref="K31:L31" si="8">SUM(K17:K28)</f>
        <v>0</v>
      </c>
      <c r="L31" s="9">
        <f t="shared" si="8"/>
        <v>3920</v>
      </c>
      <c r="N31" s="2" t="s">
        <v>91</v>
      </c>
      <c r="O31" s="9">
        <f t="shared" ref="O31:P31" si="9">SUM(O17:O28)</f>
        <v>0</v>
      </c>
      <c r="P31" s="9">
        <f t="shared" si="9"/>
        <v>4390</v>
      </c>
    </row>
    <row r="32">
      <c r="B32" s="2" t="s">
        <v>23</v>
      </c>
      <c r="C32" s="9">
        <f>C14-C31</f>
        <v>1194640</v>
      </c>
      <c r="F32" s="2" t="s">
        <v>23</v>
      </c>
      <c r="G32" s="9">
        <f>G14-G31</f>
        <v>1306170</v>
      </c>
      <c r="J32" s="2" t="s">
        <v>23</v>
      </c>
      <c r="K32" s="9">
        <f>K14-K31</f>
        <v>545000</v>
      </c>
      <c r="N32" s="2" t="s">
        <v>23</v>
      </c>
      <c r="O32" s="9">
        <f>O14-O31</f>
        <v>610000</v>
      </c>
    </row>
    <row r="33">
      <c r="J33" s="2" t="s">
        <v>69</v>
      </c>
      <c r="K33" s="10">
        <v>50000.0</v>
      </c>
      <c r="N33" s="2" t="s">
        <v>69</v>
      </c>
      <c r="O33" s="10">
        <v>50000.0</v>
      </c>
    </row>
  </sheetData>
  <hyperlinks>
    <hyperlink r:id="rId4" ref="H1"/>
    <hyperlink r:id="rId5" ref="H2"/>
    <hyperlink r:id="rId6" ref="H3"/>
    <hyperlink r:id="rId7" ref="H4"/>
    <hyperlink r:id="rId8" ref="H5"/>
    <hyperlink r:id="rId9" ref="H6"/>
    <hyperlink r:id="rId10" ref="D28"/>
    <hyperlink r:id="rId11" ref="D29"/>
    <hyperlink r:id="rId12" ref="D30"/>
    <hyperlink r:id="rId13" ref="E30"/>
  </hyperlinks>
  <drawing r:id="rId14"/>
  <legacyDrawing r:id="rId15"/>
</worksheet>
</file>